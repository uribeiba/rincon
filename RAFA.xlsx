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CARNICERIA LOS VILOS\CENTRO DE COSTOS\"/>
    </mc:Choice>
  </mc:AlternateContent>
  <bookViews>
    <workbookView xWindow="0" yWindow="0" windowWidth="15360" windowHeight="7632" firstSheet="2" activeTab="4"/>
  </bookViews>
  <sheets>
    <sheet name="Hoja1" sheetId="1" state="hidden" r:id="rId1"/>
    <sheet name="Centro de Costo" sheetId="2" state="hidden" r:id="rId2"/>
    <sheet name="Gastos Fijos" sheetId="11" r:id="rId3"/>
    <sheet name="Centro de" sheetId="8" r:id="rId4"/>
    <sheet name="Control de Compra y Ventas" sheetId="13" r:id="rId5"/>
  </sheets>
  <definedNames>
    <definedName name="_xlnm.Print_Area" localSheetId="3">'Centro de'!$B$1:$L$50</definedName>
    <definedName name="_xlnm.Print_Area" localSheetId="1">'Centro de Costo'!$I$2:$J$32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3" l="1"/>
  <c r="G16" i="13"/>
  <c r="G22" i="13" s="1"/>
  <c r="G35" i="8" l="1"/>
  <c r="G39" i="8"/>
  <c r="H35" i="8" l="1"/>
  <c r="I35" i="8" s="1"/>
  <c r="K35" i="8" s="1"/>
  <c r="M35" i="8" s="1"/>
  <c r="H39" i="8"/>
  <c r="I39" i="8" s="1"/>
  <c r="K39" i="8" s="1"/>
  <c r="M39" i="8" s="1"/>
  <c r="G24" i="8"/>
  <c r="H24" i="8" s="1"/>
  <c r="I24" i="8" l="1"/>
  <c r="K24" i="8" s="1"/>
  <c r="M24" i="8" s="1"/>
  <c r="G13" i="8" l="1"/>
  <c r="H13" i="8" l="1"/>
  <c r="I13" i="8" s="1"/>
  <c r="K13" i="8" s="1"/>
  <c r="M13" i="8" s="1"/>
  <c r="G36" i="8" l="1"/>
  <c r="H36" i="8" s="1"/>
  <c r="G54" i="8"/>
  <c r="I36" i="8" l="1"/>
  <c r="K36" i="8" s="1"/>
  <c r="M36" i="8" s="1"/>
  <c r="H54" i="8"/>
  <c r="I54" i="8" s="1"/>
  <c r="K54" i="8" s="1"/>
  <c r="M54" i="8" s="1"/>
  <c r="G59" i="8"/>
  <c r="H59" i="8" s="1"/>
  <c r="G14" i="8"/>
  <c r="I59" i="8" l="1"/>
  <c r="K59" i="8" s="1"/>
  <c r="M59" i="8" s="1"/>
  <c r="H14" i="8"/>
  <c r="I14" i="8" s="1"/>
  <c r="K14" i="8" s="1"/>
  <c r="M14" i="8" s="1"/>
  <c r="F11" i="11" l="1"/>
  <c r="G11" i="11" s="1"/>
  <c r="H11" i="11" s="1"/>
  <c r="E27" i="1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F18" i="11"/>
  <c r="G18" i="11" s="1"/>
  <c r="H18" i="11" s="1"/>
  <c r="F17" i="11"/>
  <c r="G17" i="11" s="1"/>
  <c r="H17" i="11" s="1"/>
  <c r="F16" i="11"/>
  <c r="G16" i="11" s="1"/>
  <c r="H16" i="11" s="1"/>
  <c r="F15" i="11"/>
  <c r="G15" i="11" s="1"/>
  <c r="H15" i="11" s="1"/>
  <c r="F14" i="11"/>
  <c r="G14" i="11" s="1"/>
  <c r="H14" i="11" s="1"/>
  <c r="F13" i="11"/>
  <c r="G13" i="11" s="1"/>
  <c r="H13" i="11" s="1"/>
  <c r="G12" i="11"/>
  <c r="H12" i="11" s="1"/>
  <c r="F10" i="11"/>
  <c r="G10" i="11" s="1"/>
  <c r="H10" i="11" s="1"/>
  <c r="F9" i="11"/>
  <c r="G9" i="11" s="1"/>
  <c r="H9" i="11" s="1"/>
  <c r="F8" i="11"/>
  <c r="G8" i="11" s="1"/>
  <c r="H8" i="11" s="1"/>
  <c r="F7" i="11"/>
  <c r="G7" i="11" s="1"/>
  <c r="H7" i="11" l="1"/>
  <c r="H27" i="11" s="1"/>
  <c r="G27" i="11"/>
  <c r="F27" i="11"/>
  <c r="G2" i="8" l="1"/>
  <c r="H2" i="8" s="1"/>
  <c r="I2" i="8" s="1"/>
  <c r="K2" i="8" s="1"/>
  <c r="M2" i="8" s="1"/>
  <c r="G3" i="8"/>
  <c r="G4" i="8"/>
  <c r="G5" i="8"/>
  <c r="H5" i="8" s="1"/>
  <c r="G6" i="8"/>
  <c r="H6" i="8" s="1"/>
  <c r="G7" i="8"/>
  <c r="H7" i="8" s="1"/>
  <c r="I7" i="8" s="1"/>
  <c r="K7" i="8" s="1"/>
  <c r="M7" i="8" s="1"/>
  <c r="G8" i="8"/>
  <c r="H8" i="8" s="1"/>
  <c r="I8" i="8" s="1"/>
  <c r="K8" i="8" s="1"/>
  <c r="M8" i="8" s="1"/>
  <c r="G9" i="8"/>
  <c r="H9" i="8" s="1"/>
  <c r="G10" i="8"/>
  <c r="H10" i="8" s="1"/>
  <c r="G11" i="8"/>
  <c r="H11" i="8" s="1"/>
  <c r="G12" i="8"/>
  <c r="G15" i="8"/>
  <c r="H15" i="8" s="1"/>
  <c r="G17" i="8"/>
  <c r="H17" i="8" s="1"/>
  <c r="G18" i="8"/>
  <c r="G19" i="8"/>
  <c r="H19" i="8" s="1"/>
  <c r="G20" i="8"/>
  <c r="G21" i="8"/>
  <c r="H21" i="8" s="1"/>
  <c r="G22" i="8"/>
  <c r="H22" i="8" s="1"/>
  <c r="G23" i="8"/>
  <c r="G25" i="8"/>
  <c r="H25" i="8" s="1"/>
  <c r="G26" i="8"/>
  <c r="H26" i="8" s="1"/>
  <c r="G27" i="8"/>
  <c r="H27" i="8" s="1"/>
  <c r="G28" i="8"/>
  <c r="H28" i="8" s="1"/>
  <c r="G29" i="8"/>
  <c r="H29" i="8" s="1"/>
  <c r="G30" i="8"/>
  <c r="H30" i="8" s="1"/>
  <c r="G31" i="8"/>
  <c r="H31" i="8" s="1"/>
  <c r="G32" i="8"/>
  <c r="H32" i="8" s="1"/>
  <c r="G33" i="8"/>
  <c r="H33" i="8" s="1"/>
  <c r="G34" i="8"/>
  <c r="G37" i="8"/>
  <c r="G38" i="8"/>
  <c r="G40" i="8"/>
  <c r="H40" i="8" s="1"/>
  <c r="G41" i="8"/>
  <c r="H41" i="8" s="1"/>
  <c r="G42" i="8"/>
  <c r="H42" i="8" s="1"/>
  <c r="G43" i="8"/>
  <c r="H43" i="8" s="1"/>
  <c r="G44" i="8"/>
  <c r="H44" i="8" s="1"/>
  <c r="G45" i="8"/>
  <c r="H45" i="8" s="1"/>
  <c r="G46" i="8"/>
  <c r="H46" i="8" s="1"/>
  <c r="G47" i="8"/>
  <c r="H47" i="8" s="1"/>
  <c r="G49" i="8"/>
  <c r="G50" i="8"/>
  <c r="H50" i="8" s="1"/>
  <c r="G51" i="8"/>
  <c r="H51" i="8" s="1"/>
  <c r="G52" i="8"/>
  <c r="H52" i="8" s="1"/>
  <c r="G53" i="8"/>
  <c r="H53" i="8" s="1"/>
  <c r="I53" i="8" s="1"/>
  <c r="K53" i="8" s="1"/>
  <c r="M53" i="8" s="1"/>
  <c r="G55" i="8"/>
  <c r="H55" i="8" s="1"/>
  <c r="G56" i="8"/>
  <c r="H56" i="8" s="1"/>
  <c r="I56" i="8" s="1"/>
  <c r="K56" i="8" s="1"/>
  <c r="G57" i="8"/>
  <c r="G58" i="8"/>
  <c r="H58" i="8" s="1"/>
  <c r="I58" i="8" s="1"/>
  <c r="K58" i="8" s="1"/>
  <c r="M58" i="8" s="1"/>
  <c r="G60" i="8"/>
  <c r="G62" i="8"/>
  <c r="H62" i="8" s="1"/>
  <c r="I62" i="8" s="1"/>
  <c r="K62" i="8" s="1"/>
  <c r="M62" i="8" s="1"/>
  <c r="G63" i="8"/>
  <c r="H63" i="8" s="1"/>
  <c r="I63" i="8" s="1"/>
  <c r="K63" i="8" s="1"/>
  <c r="G64" i="8"/>
  <c r="H64" i="8" s="1"/>
  <c r="I64" i="8" s="1"/>
  <c r="K64" i="8" s="1"/>
  <c r="G65" i="8"/>
  <c r="H65" i="8" s="1"/>
  <c r="I65" i="8" s="1"/>
  <c r="K65" i="8" s="1"/>
  <c r="G66" i="8"/>
  <c r="H66" i="8" s="1"/>
  <c r="I66" i="8" s="1"/>
  <c r="K66" i="8" s="1"/>
  <c r="G67" i="8"/>
  <c r="G68" i="8"/>
  <c r="H68" i="8" s="1"/>
  <c r="I68" i="8" s="1"/>
  <c r="K68" i="8" s="1"/>
  <c r="G69" i="8"/>
  <c r="H69" i="8" s="1"/>
  <c r="I69" i="8" s="1"/>
  <c r="K69" i="8" s="1"/>
  <c r="G70" i="8"/>
  <c r="H70" i="8" s="1"/>
  <c r="I70" i="8" s="1"/>
  <c r="K70" i="8" s="1"/>
  <c r="G71" i="8"/>
  <c r="H71" i="8" s="1"/>
  <c r="G72" i="8"/>
  <c r="H72" i="8" s="1"/>
  <c r="I72" i="8" s="1"/>
  <c r="K72" i="8" s="1"/>
  <c r="G73" i="8"/>
  <c r="G74" i="8"/>
  <c r="G75" i="8"/>
  <c r="H75" i="8" s="1"/>
  <c r="I75" i="8" s="1"/>
  <c r="K75" i="8" s="1"/>
  <c r="G76" i="8"/>
  <c r="H76" i="8" s="1"/>
  <c r="I76" i="8" s="1"/>
  <c r="K76" i="8" s="1"/>
  <c r="H38" i="8" l="1"/>
  <c r="I38" i="8" s="1"/>
  <c r="K38" i="8" s="1"/>
  <c r="M38" i="8" s="1"/>
  <c r="H34" i="8"/>
  <c r="I34" i="8" s="1"/>
  <c r="K34" i="8" s="1"/>
  <c r="M34" i="8" s="1"/>
  <c r="H37" i="8"/>
  <c r="I37" i="8" s="1"/>
  <c r="K37" i="8" s="1"/>
  <c r="M37" i="8" s="1"/>
  <c r="H18" i="8"/>
  <c r="I18" i="8" s="1"/>
  <c r="K18" i="8" s="1"/>
  <c r="M18" i="8" s="1"/>
  <c r="H23" i="8"/>
  <c r="I23" i="8" s="1"/>
  <c r="K23" i="8" s="1"/>
  <c r="M23" i="8" s="1"/>
  <c r="H20" i="8"/>
  <c r="I20" i="8" s="1"/>
  <c r="K20" i="8" s="1"/>
  <c r="M20" i="8" s="1"/>
  <c r="H60" i="8"/>
  <c r="I60" i="8" s="1"/>
  <c r="K60" i="8" s="1"/>
  <c r="M60" i="8" s="1"/>
  <c r="I30" i="8"/>
  <c r="K30" i="8" s="1"/>
  <c r="M30" i="8" s="1"/>
  <c r="I47" i="8"/>
  <c r="K47" i="8" s="1"/>
  <c r="I31" i="8"/>
  <c r="K31" i="8" s="1"/>
  <c r="M31" i="8" s="1"/>
  <c r="I50" i="8"/>
  <c r="K50" i="8" s="1"/>
  <c r="M50" i="8" s="1"/>
  <c r="I29" i="8"/>
  <c r="K29" i="8" s="1"/>
  <c r="M29" i="8" s="1"/>
  <c r="H12" i="8"/>
  <c r="I12" i="8" s="1"/>
  <c r="K12" i="8" s="1"/>
  <c r="M12" i="8" s="1"/>
  <c r="H3" i="8"/>
  <c r="I3" i="8" s="1"/>
  <c r="K3" i="8" s="1"/>
  <c r="M3" i="8" s="1"/>
  <c r="I43" i="8"/>
  <c r="K43" i="8" s="1"/>
  <c r="M43" i="8" s="1"/>
  <c r="I21" i="8"/>
  <c r="K21" i="8" s="1"/>
  <c r="M21" i="8" s="1"/>
  <c r="I44" i="8"/>
  <c r="K44" i="8" s="1"/>
  <c r="M44" i="8" s="1"/>
  <c r="H4" i="8"/>
  <c r="I4" i="8" s="1"/>
  <c r="K4" i="8" s="1"/>
  <c r="M4" i="8" s="1"/>
  <c r="I11" i="8"/>
  <c r="K11" i="8" s="1"/>
  <c r="M11" i="8" s="1"/>
  <c r="I40" i="8"/>
  <c r="K40" i="8" s="1"/>
  <c r="M40" i="8" s="1"/>
  <c r="I71" i="8"/>
  <c r="K71" i="8" s="1"/>
  <c r="I52" i="8"/>
  <c r="K52" i="8" s="1"/>
  <c r="M52" i="8" s="1"/>
  <c r="I55" i="8"/>
  <c r="K55" i="8" s="1"/>
  <c r="M55" i="8" s="1"/>
  <c r="I26" i="8"/>
  <c r="K26" i="8" s="1"/>
  <c r="M26" i="8" s="1"/>
  <c r="I46" i="8"/>
  <c r="K46" i="8" s="1"/>
  <c r="M46" i="8" s="1"/>
  <c r="I42" i="8"/>
  <c r="K42" i="8" s="1"/>
  <c r="I33" i="8"/>
  <c r="K33" i="8" s="1"/>
  <c r="M33" i="8" s="1"/>
  <c r="I25" i="8"/>
  <c r="K25" i="8" s="1"/>
  <c r="M25" i="8" s="1"/>
  <c r="H57" i="8"/>
  <c r="I27" i="8"/>
  <c r="H67" i="8"/>
  <c r="I67" i="8" s="1"/>
  <c r="K67" i="8" s="1"/>
  <c r="H73" i="8"/>
  <c r="I73" i="8" s="1"/>
  <c r="K73" i="8" s="1"/>
  <c r="I51" i="8"/>
  <c r="K51" i="8" s="1"/>
  <c r="M51" i="8" s="1"/>
  <c r="I45" i="8"/>
  <c r="K45" i="8" s="1"/>
  <c r="M45" i="8" s="1"/>
  <c r="I41" i="8"/>
  <c r="K41" i="8" s="1"/>
  <c r="M41" i="8" s="1"/>
  <c r="I32" i="8"/>
  <c r="K32" i="8" s="1"/>
  <c r="I28" i="8"/>
  <c r="K28" i="8" s="1"/>
  <c r="M28" i="8" s="1"/>
  <c r="I22" i="8"/>
  <c r="K22" i="8" s="1"/>
  <c r="M22" i="8" s="1"/>
  <c r="H74" i="8"/>
  <c r="I74" i="8" s="1"/>
  <c r="K74" i="8" s="1"/>
  <c r="M74" i="8" s="1"/>
  <c r="I10" i="8"/>
  <c r="K10" i="8" s="1"/>
  <c r="M10" i="8" s="1"/>
  <c r="I6" i="8"/>
  <c r="K6" i="8" s="1"/>
  <c r="M6" i="8" s="1"/>
  <c r="I9" i="8"/>
  <c r="K9" i="8" s="1"/>
  <c r="M9" i="8" s="1"/>
  <c r="I5" i="8"/>
  <c r="K5" i="8" s="1"/>
  <c r="M5" i="8" s="1"/>
  <c r="I19" i="8"/>
  <c r="K19" i="8" s="1"/>
  <c r="M19" i="8" s="1"/>
  <c r="I17" i="8"/>
  <c r="K17" i="8" s="1"/>
  <c r="M17" i="8" s="1"/>
  <c r="H49" i="8"/>
  <c r="I49" i="8" s="1"/>
  <c r="K49" i="8" s="1"/>
  <c r="M49" i="8" s="1"/>
  <c r="I15" i="8"/>
  <c r="K15" i="8" s="1"/>
  <c r="M15" i="8" s="1"/>
  <c r="K17" i="2"/>
  <c r="L17" i="2" s="1"/>
  <c r="K27" i="8" l="1"/>
  <c r="M27" i="8" s="1"/>
  <c r="I57" i="8"/>
  <c r="K57" i="8" s="1"/>
  <c r="M57" i="8" s="1"/>
  <c r="M17" i="2"/>
  <c r="K30" i="2" l="1"/>
  <c r="M30" i="2" s="1"/>
  <c r="L30" i="2" l="1"/>
  <c r="K29" i="2"/>
  <c r="M29" i="2" s="1"/>
  <c r="K28" i="2"/>
  <c r="M28" i="2" s="1"/>
  <c r="K16" i="2"/>
  <c r="M16" i="2" s="1"/>
  <c r="K15" i="2"/>
  <c r="M15" i="2" s="1"/>
  <c r="K14" i="2"/>
  <c r="M14" i="2" s="1"/>
  <c r="K13" i="2"/>
  <c r="K12" i="2"/>
  <c r="K11" i="2"/>
  <c r="K10" i="2"/>
  <c r="K9" i="2"/>
  <c r="K8" i="2"/>
  <c r="K7" i="2"/>
  <c r="K6" i="2"/>
  <c r="K5" i="2"/>
  <c r="K4" i="2"/>
  <c r="K27" i="2"/>
  <c r="K26" i="2"/>
  <c r="K25" i="2"/>
  <c r="K24" i="2"/>
  <c r="K23" i="2"/>
  <c r="K22" i="2"/>
  <c r="K21" i="2"/>
  <c r="C16" i="2"/>
  <c r="C15" i="2"/>
  <c r="C14" i="2"/>
  <c r="C13" i="2"/>
  <c r="C12" i="2"/>
  <c r="C11" i="2"/>
  <c r="C10" i="2"/>
  <c r="C9" i="2"/>
  <c r="C8" i="2"/>
  <c r="C7" i="2"/>
  <c r="C6" i="2"/>
  <c r="C5" i="2"/>
  <c r="C22" i="2"/>
  <c r="C4" i="2"/>
  <c r="D4" i="2" s="1"/>
  <c r="L15" i="2" l="1"/>
  <c r="L29" i="2"/>
  <c r="L28" i="2"/>
  <c r="L14" i="2"/>
  <c r="L16" i="2"/>
  <c r="L24" i="2"/>
  <c r="L25" i="2"/>
  <c r="M25" i="2"/>
  <c r="M26" i="2"/>
  <c r="L26" i="2"/>
  <c r="L27" i="2"/>
  <c r="M27" i="2"/>
  <c r="D73" i="1"/>
  <c r="F73" i="1" s="1"/>
  <c r="J73" i="1" s="1"/>
  <c r="D61" i="1"/>
  <c r="F61" i="1" s="1"/>
  <c r="J61" i="1" s="1"/>
  <c r="D60" i="1"/>
  <c r="F60" i="1" s="1"/>
  <c r="D59" i="1"/>
  <c r="F59" i="1" s="1"/>
  <c r="J59" i="1" s="1"/>
  <c r="M23" i="2"/>
  <c r="M22" i="2"/>
  <c r="M21" i="2"/>
  <c r="M13" i="2"/>
  <c r="M12" i="2"/>
  <c r="M10" i="2"/>
  <c r="L9" i="2"/>
  <c r="M8" i="2"/>
  <c r="M7" i="2"/>
  <c r="M6" i="2"/>
  <c r="M5" i="2"/>
  <c r="M4" i="2"/>
  <c r="C36" i="2"/>
  <c r="D36" i="2" s="1"/>
  <c r="C35" i="2"/>
  <c r="E35" i="2" s="1"/>
  <c r="G35" i="2" s="1"/>
  <c r="C34" i="2"/>
  <c r="D34" i="2" s="1"/>
  <c r="C33" i="2"/>
  <c r="D33" i="2" s="1"/>
  <c r="C29" i="2"/>
  <c r="E29" i="2" s="1"/>
  <c r="G29" i="2" s="1"/>
  <c r="C28" i="2"/>
  <c r="E28" i="2" s="1"/>
  <c r="G28" i="2" s="1"/>
  <c r="C27" i="2"/>
  <c r="D27" i="2" s="1"/>
  <c r="C26" i="2"/>
  <c r="E26" i="2" s="1"/>
  <c r="G26" i="2" s="1"/>
  <c r="C25" i="2"/>
  <c r="E25" i="2" s="1"/>
  <c r="G25" i="2" s="1"/>
  <c r="C24" i="2"/>
  <c r="E24" i="2" s="1"/>
  <c r="G24" i="2" s="1"/>
  <c r="C23" i="2"/>
  <c r="E23" i="2" s="1"/>
  <c r="G23" i="2" s="1"/>
  <c r="E22" i="2"/>
  <c r="G22" i="2" s="1"/>
  <c r="C21" i="2"/>
  <c r="E21" i="2" s="1"/>
  <c r="G21" i="2" s="1"/>
  <c r="E6" i="2"/>
  <c r="G6" i="2" s="1"/>
  <c r="E5" i="2"/>
  <c r="G5" i="2" s="1"/>
  <c r="E4" i="2"/>
  <c r="G4" i="2" s="1"/>
  <c r="D72" i="1"/>
  <c r="F72" i="1" s="1"/>
  <c r="J72" i="1" s="1"/>
  <c r="D71" i="1"/>
  <c r="F71" i="1" s="1"/>
  <c r="J71" i="1" s="1"/>
  <c r="D70" i="1"/>
  <c r="F70" i="1" s="1"/>
  <c r="J70" i="1" s="1"/>
  <c r="D69" i="1"/>
  <c r="F69" i="1" s="1"/>
  <c r="J69" i="1" s="1"/>
  <c r="D68" i="1"/>
  <c r="F68" i="1" s="1"/>
  <c r="J68" i="1" s="1"/>
  <c r="D67" i="1"/>
  <c r="F67" i="1" s="1"/>
  <c r="J67" i="1" s="1"/>
  <c r="D58" i="1"/>
  <c r="D57" i="1"/>
  <c r="F57" i="1" s="1"/>
  <c r="J57" i="1" s="1"/>
  <c r="D56" i="1"/>
  <c r="F56" i="1" s="1"/>
  <c r="J56" i="1" s="1"/>
  <c r="D55" i="1"/>
  <c r="F55" i="1" s="1"/>
  <c r="J55" i="1" s="1"/>
  <c r="D54" i="1"/>
  <c r="F54" i="1" s="1"/>
  <c r="J54" i="1" s="1"/>
  <c r="D53" i="1"/>
  <c r="E53" i="1" s="1"/>
  <c r="D52" i="1"/>
  <c r="F52" i="1" s="1"/>
  <c r="J52" i="1" s="1"/>
  <c r="D51" i="1"/>
  <c r="E51" i="1" s="1"/>
  <c r="D50" i="1"/>
  <c r="F50" i="1" s="1"/>
  <c r="J50" i="1" s="1"/>
  <c r="D49" i="1"/>
  <c r="E49" i="1" s="1"/>
  <c r="D43" i="1"/>
  <c r="F43" i="1" s="1"/>
  <c r="J43" i="1" s="1"/>
  <c r="D42" i="1"/>
  <c r="E42" i="1" s="1"/>
  <c r="D41" i="1"/>
  <c r="F41" i="1" s="1"/>
  <c r="J41" i="1" s="1"/>
  <c r="D40" i="1"/>
  <c r="F40" i="1" s="1"/>
  <c r="J40" i="1" s="1"/>
  <c r="D34" i="1"/>
  <c r="F34" i="1" s="1"/>
  <c r="J34" i="1" s="1"/>
  <c r="D33" i="1"/>
  <c r="F33" i="1" s="1"/>
  <c r="J33" i="1" s="1"/>
  <c r="D32" i="1"/>
  <c r="F32" i="1" s="1"/>
  <c r="J32" i="1" s="1"/>
  <c r="D31" i="1"/>
  <c r="E31" i="1" s="1"/>
  <c r="D30" i="1"/>
  <c r="F30" i="1" s="1"/>
  <c r="J30" i="1" s="1"/>
  <c r="D29" i="1"/>
  <c r="E29" i="1" s="1"/>
  <c r="D28" i="1"/>
  <c r="F28" i="1" s="1"/>
  <c r="J28" i="1" s="1"/>
  <c r="D27" i="1"/>
  <c r="F27" i="1" s="1"/>
  <c r="J27" i="1" s="1"/>
  <c r="D26" i="1"/>
  <c r="F26" i="1" s="1"/>
  <c r="J26" i="1" s="1"/>
  <c r="D20" i="1"/>
  <c r="E20" i="1" s="1"/>
  <c r="D19" i="1"/>
  <c r="F19" i="1" s="1"/>
  <c r="J19" i="1" s="1"/>
  <c r="D18" i="1"/>
  <c r="E18" i="1" s="1"/>
  <c r="D17" i="1"/>
  <c r="F17" i="1" s="1"/>
  <c r="J17" i="1" s="1"/>
  <c r="D16" i="1"/>
  <c r="E16" i="1" s="1"/>
  <c r="D15" i="1"/>
  <c r="F15" i="1" s="1"/>
  <c r="J15" i="1" s="1"/>
  <c r="D14" i="1"/>
  <c r="F14" i="1" s="1"/>
  <c r="J14" i="1" s="1"/>
  <c r="D13" i="1"/>
  <c r="F13" i="1" s="1"/>
  <c r="J13" i="1" s="1"/>
  <c r="D12" i="1"/>
  <c r="E12" i="1" s="1"/>
  <c r="D11" i="1"/>
  <c r="F11" i="1" s="1"/>
  <c r="J11" i="1" s="1"/>
  <c r="D10" i="1"/>
  <c r="E10" i="1" s="1"/>
  <c r="D9" i="1"/>
  <c r="F9" i="1" s="1"/>
  <c r="J9" i="1" s="1"/>
  <c r="D8" i="1"/>
  <c r="E8" i="1" s="1"/>
  <c r="J60" i="1" l="1"/>
  <c r="M11" i="2"/>
  <c r="M24" i="2"/>
  <c r="E73" i="1"/>
  <c r="E60" i="1"/>
  <c r="E61" i="1"/>
  <c r="E59" i="1"/>
  <c r="E36" i="2"/>
  <c r="G36" i="2" s="1"/>
  <c r="M9" i="2"/>
  <c r="E27" i="2"/>
  <c r="G27" i="2" s="1"/>
  <c r="L11" i="2"/>
  <c r="E34" i="2"/>
  <c r="G34" i="2" s="1"/>
  <c r="L13" i="2"/>
  <c r="D23" i="2"/>
  <c r="L7" i="2"/>
  <c r="E33" i="2"/>
  <c r="G33" i="2" s="1"/>
  <c r="D5" i="2"/>
  <c r="E7" i="2" s="1"/>
  <c r="G7" i="2" s="1"/>
  <c r="D25" i="2"/>
  <c r="D29" i="2"/>
  <c r="L5" i="2"/>
  <c r="L22" i="2"/>
  <c r="D21" i="2"/>
  <c r="D6" i="2"/>
  <c r="E8" i="2" s="1"/>
  <c r="G8" i="2" s="1"/>
  <c r="D8" i="2"/>
  <c r="E10" i="2" s="1"/>
  <c r="G10" i="2" s="1"/>
  <c r="D22" i="2"/>
  <c r="D24" i="2"/>
  <c r="D26" i="2"/>
  <c r="D28" i="2"/>
  <c r="D35" i="2"/>
  <c r="L4" i="2"/>
  <c r="L6" i="2"/>
  <c r="L8" i="2"/>
  <c r="L10" i="2"/>
  <c r="L12" i="2"/>
  <c r="L21" i="2"/>
  <c r="L23" i="2"/>
  <c r="E67" i="1"/>
  <c r="E69" i="1"/>
  <c r="E71" i="1"/>
  <c r="E68" i="1"/>
  <c r="E70" i="1"/>
  <c r="E72" i="1"/>
  <c r="E14" i="1"/>
  <c r="E27" i="1"/>
  <c r="E33" i="1"/>
  <c r="E40" i="1"/>
  <c r="E55" i="1"/>
  <c r="E57" i="1"/>
  <c r="F8" i="1"/>
  <c r="J8" i="1" s="1"/>
  <c r="F10" i="1"/>
  <c r="J10" i="1" s="1"/>
  <c r="F12" i="1"/>
  <c r="J12" i="1" s="1"/>
  <c r="F16" i="1"/>
  <c r="J16" i="1" s="1"/>
  <c r="F18" i="1"/>
  <c r="J18" i="1" s="1"/>
  <c r="F20" i="1"/>
  <c r="J20" i="1" s="1"/>
  <c r="F29" i="1"/>
  <c r="J29" i="1" s="1"/>
  <c r="F31" i="1"/>
  <c r="J31" i="1" s="1"/>
  <c r="F42" i="1"/>
  <c r="J42" i="1" s="1"/>
  <c r="F49" i="1"/>
  <c r="J49" i="1" s="1"/>
  <c r="F51" i="1"/>
  <c r="J51" i="1" s="1"/>
  <c r="F53" i="1"/>
  <c r="J53" i="1" s="1"/>
  <c r="E9" i="1"/>
  <c r="E11" i="1"/>
  <c r="E13" i="1"/>
  <c r="E15" i="1"/>
  <c r="E17" i="1"/>
  <c r="E19" i="1"/>
  <c r="E26" i="1"/>
  <c r="E28" i="1"/>
  <c r="E30" i="1"/>
  <c r="E32" i="1"/>
  <c r="E34" i="1"/>
  <c r="E41" i="1"/>
  <c r="E43" i="1"/>
  <c r="E50" i="1"/>
  <c r="E52" i="1"/>
  <c r="E54" i="1"/>
  <c r="E56" i="1"/>
  <c r="D10" i="2" l="1"/>
  <c r="D7" i="2"/>
  <c r="F58" i="1"/>
  <c r="J58" i="1" s="1"/>
  <c r="E58" i="1"/>
  <c r="E9" i="2" l="1"/>
  <c r="G9" i="2" s="1"/>
  <c r="D9" i="2"/>
  <c r="E12" i="2"/>
  <c r="G12" i="2" s="1"/>
  <c r="D12" i="2"/>
  <c r="E11" i="2" l="1"/>
  <c r="G11" i="2" s="1"/>
  <c r="D11" i="2"/>
  <c r="E14" i="2"/>
  <c r="G14" i="2" s="1"/>
  <c r="D14" i="2"/>
  <c r="E16" i="2" l="1"/>
  <c r="G16" i="2" s="1"/>
  <c r="D16" i="2"/>
  <c r="E13" i="2"/>
  <c r="G13" i="2" s="1"/>
  <c r="D13" i="2"/>
  <c r="E15" i="2" l="1"/>
  <c r="G15" i="2" s="1"/>
  <c r="D15" i="2"/>
</calcChain>
</file>

<file path=xl/comments1.xml><?xml version="1.0" encoding="utf-8"?>
<comments xmlns="http://schemas.openxmlformats.org/spreadsheetml/2006/main">
  <authors>
    <author>Patricio Rivera</author>
  </authors>
  <commentList>
    <comment ref="E14" authorId="0" shapeId="0">
      <text>
        <r>
          <rPr>
            <b/>
            <sz val="9"/>
            <color indexed="81"/>
            <rFont val="Tahoma"/>
            <family val="2"/>
          </rPr>
          <t>Patricio Rivera:</t>
        </r>
        <r>
          <rPr>
            <sz val="9"/>
            <color indexed="81"/>
            <rFont val="Tahoma"/>
            <family val="2"/>
          </rPr>
          <t xml:space="preserve">
Prestamo 6 de 24, (cuota 6 corresponde a octubre 2024)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Patricio Rivera:  cuota 6 de 24, (cuota 6 corresponde a octubre 2024)</t>
        </r>
      </text>
    </comment>
  </commentList>
</comments>
</file>

<file path=xl/sharedStrings.xml><?xml version="1.0" encoding="utf-8"?>
<sst xmlns="http://schemas.openxmlformats.org/spreadsheetml/2006/main" count="308" uniqueCount="178">
  <si>
    <t>% de Ganancia</t>
  </si>
  <si>
    <t xml:space="preserve">POLLO  </t>
  </si>
  <si>
    <t>Costo</t>
  </si>
  <si>
    <t>Precio Venta Neto</t>
  </si>
  <si>
    <t>Gancia</t>
  </si>
  <si>
    <t>Precio venta con IVA</t>
  </si>
  <si>
    <t>Precio Venta Actual</t>
  </si>
  <si>
    <t>Precio Venta  nuevo</t>
  </si>
  <si>
    <t>Trutro Entero de Pollo</t>
  </si>
  <si>
    <t>Trutro Largo de Pollo</t>
  </si>
  <si>
    <t>Trutro 1/4 de Pollo</t>
  </si>
  <si>
    <t>Trutro Corto de Pollo</t>
  </si>
  <si>
    <t>Truto Ala de Pollo</t>
  </si>
  <si>
    <t>Ala Entera de Pollo</t>
  </si>
  <si>
    <t>Pechuga Entera de Pollo</t>
  </si>
  <si>
    <t>Pechuga deshuesada</t>
  </si>
  <si>
    <t>Pollo Entero con Menudencias</t>
  </si>
  <si>
    <t>Gallina Entera</t>
  </si>
  <si>
    <t>Ala Puchero</t>
  </si>
  <si>
    <t>Pana de Pollo sin Corazón</t>
  </si>
  <si>
    <t>Patas de Pollo</t>
  </si>
  <si>
    <t>CERDO</t>
  </si>
  <si>
    <t>Costillar de cerdo</t>
  </si>
  <si>
    <t>Paleta sin plateada</t>
  </si>
  <si>
    <t>Chuleta Vetada Porcionada</t>
  </si>
  <si>
    <t>Pernil de mano</t>
  </si>
  <si>
    <t xml:space="preserve">Cazuela entera </t>
  </si>
  <si>
    <t>Pulpa de pierna con grasa</t>
  </si>
  <si>
    <t>Chuleta de Centro</t>
  </si>
  <si>
    <t>Cuero de chancho</t>
  </si>
  <si>
    <t>Gordura chica de cerdo</t>
  </si>
  <si>
    <t>PAVO</t>
  </si>
  <si>
    <t>Osobuco</t>
  </si>
  <si>
    <t>Costilla de pavo</t>
  </si>
  <si>
    <t>Truto Ala de pavo</t>
  </si>
  <si>
    <t>Cogote de pavo</t>
  </si>
  <si>
    <t>Carne molida fresca</t>
  </si>
  <si>
    <t>Hueso carnudo</t>
  </si>
  <si>
    <t>Hueso corriente</t>
  </si>
  <si>
    <t>Lomo  vetado</t>
  </si>
  <si>
    <t>Asiento</t>
  </si>
  <si>
    <t>Posta Rosada</t>
  </si>
  <si>
    <t>Asado carnicero</t>
  </si>
  <si>
    <t>Sobre costilla</t>
  </si>
  <si>
    <t>Abastero</t>
  </si>
  <si>
    <t>SUB PRODUCTOS</t>
  </si>
  <si>
    <t>PRECIO VENTA</t>
  </si>
  <si>
    <t>Pata de Vacuno</t>
  </si>
  <si>
    <t>Pana de Vacuno</t>
  </si>
  <si>
    <t>Longanizas Yerbas buenas</t>
  </si>
  <si>
    <t>Longanizas Ocarlis</t>
  </si>
  <si>
    <t>Salchicas Ocarlis</t>
  </si>
  <si>
    <t>Queso de Cabeza Ocarlis</t>
  </si>
  <si>
    <t>VACUNO</t>
  </si>
  <si>
    <t>LISTA DE PRECIOS</t>
  </si>
  <si>
    <t>Cazuela entera Ahumada</t>
  </si>
  <si>
    <t>Cazuela tirahueso Ahumado</t>
  </si>
  <si>
    <t>Cazuela cogote ahumado</t>
  </si>
  <si>
    <t>Longanizas Economica</t>
  </si>
  <si>
    <t>Longaniza Economica</t>
  </si>
  <si>
    <t>% de utilidad</t>
  </si>
  <si>
    <t>Guata Sola</t>
  </si>
  <si>
    <t>Chunchules</t>
  </si>
  <si>
    <t>Prietas</t>
  </si>
  <si>
    <t>Punta Picana</t>
  </si>
  <si>
    <t>Posta Rosada Importada</t>
  </si>
  <si>
    <t>Sobre costilla Importada V</t>
  </si>
  <si>
    <t xml:space="preserve">Chuleta Vetada </t>
  </si>
  <si>
    <t>Longaniza de Chillan</t>
  </si>
  <si>
    <t>Huachalomo</t>
  </si>
  <si>
    <t>Lomo  vetado importado V</t>
  </si>
  <si>
    <t>Asado carnicero  Importado V</t>
  </si>
  <si>
    <t>Salchicas Artesanal Osorno</t>
  </si>
  <si>
    <t>Carbon Quebracho Blanco</t>
  </si>
  <si>
    <t>Paleta de cerdo</t>
  </si>
  <si>
    <t xml:space="preserve">Trutro Entero </t>
  </si>
  <si>
    <t xml:space="preserve">Trutro Largo </t>
  </si>
  <si>
    <t>Pechuga Entera</t>
  </si>
  <si>
    <t>Pulpa de cerdo</t>
  </si>
  <si>
    <t>Trutro Ala fresco</t>
  </si>
  <si>
    <t>Lomo Liso</t>
  </si>
  <si>
    <t>Filete de Pollo</t>
  </si>
  <si>
    <t>Churrasco</t>
  </si>
  <si>
    <t>Prietas del Abuelo</t>
  </si>
  <si>
    <t>Carne Molida Especial</t>
  </si>
  <si>
    <t xml:space="preserve">Hueso Carnudo  </t>
  </si>
  <si>
    <t>Posta Negra Importada</t>
  </si>
  <si>
    <t>Choclillo</t>
  </si>
  <si>
    <t>Pollo Ganso</t>
  </si>
  <si>
    <t>Chorizo la española 1 kilo</t>
  </si>
  <si>
    <t>Chorizo PF 1  kilo</t>
  </si>
  <si>
    <t>Chorizo del abuelo 5 unid</t>
  </si>
  <si>
    <t>Vianesas Montina</t>
  </si>
  <si>
    <t>Vianesas Cartuja</t>
  </si>
  <si>
    <t>Vianesas PF 5 unid.</t>
  </si>
  <si>
    <t>Guatita vacuno</t>
  </si>
  <si>
    <t>Corazon de vacuno</t>
  </si>
  <si>
    <t>Aletilla</t>
  </si>
  <si>
    <t>Pata de cerdo</t>
  </si>
  <si>
    <t>Pernil de cerdo</t>
  </si>
  <si>
    <t>Costilla de Pavo</t>
  </si>
  <si>
    <t>Costillar Baby Criolla Aliñado</t>
  </si>
  <si>
    <t>Higado de Vacuno</t>
  </si>
  <si>
    <t>Entraña Vacuno</t>
  </si>
  <si>
    <t>Longanicillas del abuelo 8 unid</t>
  </si>
  <si>
    <t>Prietas Artenales de Osorno</t>
  </si>
  <si>
    <t>Prietas artensales de chillan</t>
  </si>
  <si>
    <t>Longanicilla Angus</t>
  </si>
  <si>
    <t>Longanizas Montina</t>
  </si>
  <si>
    <t>Ala Entera</t>
  </si>
  <si>
    <t>Tocino Cerdo</t>
  </si>
  <si>
    <t>Posta Paleta</t>
  </si>
  <si>
    <t>Ganso</t>
  </si>
  <si>
    <t>Gastos fijos</t>
  </si>
  <si>
    <t>Gastos variables</t>
  </si>
  <si>
    <t>Costo real</t>
  </si>
  <si>
    <t>Costo con IVA</t>
  </si>
  <si>
    <t>Precio Neto</t>
  </si>
  <si>
    <t>IVA</t>
  </si>
  <si>
    <t>Pana</t>
  </si>
  <si>
    <t>Lomo de Cerdo</t>
  </si>
  <si>
    <t>N°</t>
  </si>
  <si>
    <t>Precio Venta</t>
  </si>
  <si>
    <t>Gancia en $</t>
  </si>
  <si>
    <t>% Ganancia</t>
  </si>
  <si>
    <t>PRODUCTO</t>
  </si>
  <si>
    <t>Item</t>
  </si>
  <si>
    <t>Proveedor</t>
  </si>
  <si>
    <t>Fecha</t>
  </si>
  <si>
    <t>Monto</t>
  </si>
  <si>
    <t>Agrosuper</t>
  </si>
  <si>
    <t>Frigosorno</t>
  </si>
  <si>
    <t>Costos Fijos</t>
  </si>
  <si>
    <t>Costos</t>
  </si>
  <si>
    <t>Anuales</t>
  </si>
  <si>
    <t>Semestral</t>
  </si>
  <si>
    <t>Mensual</t>
  </si>
  <si>
    <t>Diarios</t>
  </si>
  <si>
    <t>Hora</t>
  </si>
  <si>
    <t>Descripcion</t>
  </si>
  <si>
    <t>Sueldos</t>
  </si>
  <si>
    <t>Luz</t>
  </si>
  <si>
    <t>Agua</t>
  </si>
  <si>
    <t>Internet</t>
  </si>
  <si>
    <t>Getnet</t>
  </si>
  <si>
    <t>Boleta Efectivo</t>
  </si>
  <si>
    <t>Arriendo Local</t>
  </si>
  <si>
    <t>Prestamo Compra Mercaderia</t>
  </si>
  <si>
    <t>Prestamo compra materiales</t>
  </si>
  <si>
    <t>Prestamo compra Maquinarias</t>
  </si>
  <si>
    <t>Patente</t>
  </si>
  <si>
    <t>Insumos de Limpieza</t>
  </si>
  <si>
    <t>Bolsas</t>
  </si>
  <si>
    <t>Guantes</t>
  </si>
  <si>
    <t>Publicidad</t>
  </si>
  <si>
    <t>Perdidas</t>
  </si>
  <si>
    <t>Fletes encomienda</t>
  </si>
  <si>
    <t>Contador</t>
  </si>
  <si>
    <t>Cazuela de Gallina</t>
  </si>
  <si>
    <t>Cuero de cerdo</t>
  </si>
  <si>
    <t xml:space="preserve">Asado Carnicero Nacional </t>
  </si>
  <si>
    <t>Pichanga de Pollo</t>
  </si>
  <si>
    <t>PF</t>
  </si>
  <si>
    <t>Filete</t>
  </si>
  <si>
    <t>Plateada Nacional</t>
  </si>
  <si>
    <t>Plateada Importada</t>
  </si>
  <si>
    <t>Palanca</t>
  </si>
  <si>
    <t>Asado Parrillero Nacional</t>
  </si>
  <si>
    <t>Costillitas</t>
  </si>
  <si>
    <t>Costillar de cerdo nacional 79</t>
  </si>
  <si>
    <t>DETALLE FACTURAS DE COMPRAS</t>
  </si>
  <si>
    <t>Nª</t>
  </si>
  <si>
    <t>Detalle Ventas semana 20 al 26 de abril</t>
  </si>
  <si>
    <t>San Jorge</t>
  </si>
  <si>
    <t>La Escondida</t>
  </si>
  <si>
    <t>Carlos Sanchez</t>
  </si>
  <si>
    <t>Bidfood</t>
  </si>
  <si>
    <t>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</si>
</sst>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fornian FB"/>
      <family val="1"/>
    </font>
    <font>
      <b/>
      <sz val="10"/>
      <color theme="1"/>
      <name val="Californian FB"/>
      <family val="1"/>
    </font>
    <font>
      <sz val="10"/>
      <name val="Californian FB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9" fontId="1" fillId="0" borderId="3" xfId="0" applyNumberFormat="1" applyFont="1" applyBorder="1"/>
    <xf numFmtId="9" fontId="1" fillId="0" borderId="0" xfId="0" applyNumberFormat="1" applyFont="1" applyBorder="1"/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0" fontId="1" fillId="0" borderId="3" xfId="0" applyFont="1" applyFill="1" applyBorder="1"/>
    <xf numFmtId="164" fontId="1" fillId="0" borderId="3" xfId="0" applyNumberFormat="1" applyFont="1" applyFill="1" applyBorder="1"/>
    <xf numFmtId="0" fontId="1" fillId="0" borderId="6" xfId="0" applyFont="1" applyBorder="1" applyAlignment="1">
      <alignment horizontal="center" wrapText="1"/>
    </xf>
    <xf numFmtId="0" fontId="1" fillId="0" borderId="6" xfId="0" applyFont="1" applyBorder="1"/>
    <xf numFmtId="0" fontId="2" fillId="0" borderId="0" xfId="0" applyFont="1"/>
    <xf numFmtId="0" fontId="1" fillId="0" borderId="5" xfId="0" applyFont="1" applyBorder="1"/>
    <xf numFmtId="0" fontId="1" fillId="0" borderId="5" xfId="0" applyFont="1" applyFill="1" applyBorder="1"/>
    <xf numFmtId="164" fontId="1" fillId="0" borderId="5" xfId="0" applyNumberFormat="1" applyFont="1" applyFill="1" applyBorder="1"/>
    <xf numFmtId="0" fontId="1" fillId="0" borderId="4" xfId="0" applyFont="1" applyBorder="1"/>
    <xf numFmtId="9" fontId="1" fillId="0" borderId="6" xfId="0" applyNumberFormat="1" applyFont="1" applyBorder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164" fontId="1" fillId="0" borderId="0" xfId="0" applyNumberFormat="1" applyFont="1" applyBorder="1"/>
    <xf numFmtId="0" fontId="1" fillId="0" borderId="0" xfId="0" applyFont="1" applyBorder="1"/>
    <xf numFmtId="0" fontId="2" fillId="0" borderId="3" xfId="0" applyFont="1" applyBorder="1" applyAlignment="1">
      <alignment horizontal="center" vertical="center" wrapText="1"/>
    </xf>
    <xf numFmtId="0" fontId="1" fillId="0" borderId="8" xfId="0" applyFont="1" applyBorder="1"/>
    <xf numFmtId="9" fontId="1" fillId="0" borderId="1" xfId="0" applyNumberFormat="1" applyFont="1" applyBorder="1" applyAlignment="1"/>
    <xf numFmtId="0" fontId="1" fillId="0" borderId="0" xfId="0" applyFont="1" applyFill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4" fontId="1" fillId="2" borderId="7" xfId="0" applyNumberFormat="1" applyFont="1" applyFill="1" applyBorder="1"/>
    <xf numFmtId="164" fontId="1" fillId="2" borderId="4" xfId="0" applyNumberFormat="1" applyFont="1" applyFill="1" applyBorder="1"/>
    <xf numFmtId="164" fontId="1" fillId="2" borderId="5" xfId="0" applyNumberFormat="1" applyFont="1" applyFill="1" applyBorder="1"/>
    <xf numFmtId="164" fontId="1" fillId="2" borderId="4" xfId="0" applyNumberFormat="1" applyFont="1" applyFill="1" applyBorder="1" applyAlignment="1">
      <alignment vertical="top"/>
    </xf>
    <xf numFmtId="164" fontId="3" fillId="2" borderId="5" xfId="0" applyNumberFormat="1" applyFont="1" applyFill="1" applyBorder="1"/>
    <xf numFmtId="164" fontId="3" fillId="2" borderId="7" xfId="0" applyNumberFormat="1" applyFont="1" applyFill="1" applyBorder="1"/>
    <xf numFmtId="164" fontId="3" fillId="2" borderId="9" xfId="0" applyNumberFormat="1" applyFont="1" applyFill="1" applyBorder="1"/>
    <xf numFmtId="164" fontId="1" fillId="2" borderId="0" xfId="0" applyNumberFormat="1" applyFont="1" applyFill="1" applyBorder="1"/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5" xfId="0" applyBorder="1"/>
    <xf numFmtId="0" fontId="7" fillId="0" borderId="5" xfId="0" applyFont="1" applyBorder="1"/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right" vertical="center" wrapText="1"/>
    </xf>
    <xf numFmtId="164" fontId="7" fillId="0" borderId="5" xfId="0" applyNumberFormat="1" applyFont="1" applyBorder="1"/>
    <xf numFmtId="164" fontId="7" fillId="0" borderId="5" xfId="0" applyNumberFormat="1" applyFont="1" applyFill="1" applyBorder="1" applyAlignment="1">
      <alignment horizontal="right"/>
    </xf>
    <xf numFmtId="9" fontId="7" fillId="0" borderId="5" xfId="0" applyNumberFormat="1" applyFont="1" applyBorder="1"/>
    <xf numFmtId="164" fontId="9" fillId="0" borderId="5" xfId="0" applyNumberFormat="1" applyFont="1" applyFill="1" applyBorder="1" applyAlignment="1">
      <alignment horizontal="right"/>
    </xf>
    <xf numFmtId="0" fontId="7" fillId="0" borderId="5" xfId="0" applyFont="1" applyFill="1" applyBorder="1"/>
    <xf numFmtId="164" fontId="7" fillId="0" borderId="5" xfId="0" applyNumberFormat="1" applyFont="1" applyFill="1" applyBorder="1"/>
    <xf numFmtId="0" fontId="7" fillId="3" borderId="5" xfId="0" applyFont="1" applyFill="1" applyBorder="1"/>
    <xf numFmtId="164" fontId="7" fillId="3" borderId="5" xfId="0" applyNumberFormat="1" applyFont="1" applyFill="1" applyBorder="1"/>
    <xf numFmtId="164" fontId="7" fillId="3" borderId="5" xfId="0" applyNumberFormat="1" applyFont="1" applyFill="1" applyBorder="1" applyAlignment="1">
      <alignment horizontal="right"/>
    </xf>
    <xf numFmtId="9" fontId="7" fillId="3" borderId="5" xfId="0" applyNumberFormat="1" applyFont="1" applyFill="1" applyBorder="1"/>
    <xf numFmtId="0" fontId="9" fillId="0" borderId="5" xfId="0" applyFont="1" applyFill="1" applyBorder="1"/>
    <xf numFmtId="164" fontId="9" fillId="0" borderId="5" xfId="0" applyNumberFormat="1" applyFont="1" applyFill="1" applyBorder="1"/>
    <xf numFmtId="164" fontId="9" fillId="3" borderId="5" xfId="0" applyNumberFormat="1" applyFont="1" applyFill="1" applyBorder="1" applyAlignment="1">
      <alignment horizontal="right"/>
    </xf>
    <xf numFmtId="0" fontId="9" fillId="3" borderId="5" xfId="0" applyFont="1" applyFill="1" applyBorder="1"/>
    <xf numFmtId="164" fontId="9" fillId="3" borderId="5" xfId="0" applyNumberFormat="1" applyFont="1" applyFill="1" applyBorder="1"/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164" fontId="7" fillId="0" borderId="5" xfId="0" applyNumberFormat="1" applyFont="1" applyBorder="1" applyAlignment="1">
      <alignment wrapText="1"/>
    </xf>
    <xf numFmtId="164" fontId="7" fillId="3" borderId="5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16" fontId="0" fillId="0" borderId="5" xfId="0" applyNumberFormat="1" applyBorder="1"/>
    <xf numFmtId="164" fontId="0" fillId="0" borderId="5" xfId="0" applyNumberFormat="1" applyBorder="1"/>
    <xf numFmtId="164" fontId="4" fillId="0" borderId="5" xfId="0" applyNumberFormat="1" applyFont="1" applyBorder="1"/>
    <xf numFmtId="0" fontId="6" fillId="0" borderId="0" xfId="0" applyFont="1"/>
    <xf numFmtId="0" fontId="4" fillId="0" borderId="1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5" xfId="0" applyFont="1" applyBorder="1"/>
    <xf numFmtId="164" fontId="4" fillId="0" borderId="4" xfId="0" applyNumberFormat="1" applyFont="1" applyBorder="1"/>
    <xf numFmtId="164" fontId="0" fillId="0" borderId="4" xfId="0" applyNumberFormat="1" applyBorder="1"/>
    <xf numFmtId="164" fontId="0" fillId="0" borderId="8" xfId="0" applyNumberFormat="1" applyBorder="1"/>
    <xf numFmtId="164" fontId="4" fillId="0" borderId="1" xfId="0" applyNumberFormat="1" applyFont="1" applyBorder="1"/>
    <xf numFmtId="164" fontId="4" fillId="0" borderId="3" xfId="0" applyNumberFormat="1" applyFont="1" applyBorder="1"/>
    <xf numFmtId="164" fontId="7" fillId="4" borderId="5" xfId="0" applyNumberFormat="1" applyFont="1" applyFill="1" applyBorder="1" applyAlignment="1">
      <alignment horizontal="right"/>
    </xf>
    <xf numFmtId="164" fontId="9" fillId="4" borderId="5" xfId="0" applyNumberFormat="1" applyFont="1" applyFill="1" applyBorder="1" applyAlignment="1">
      <alignment horizontal="right"/>
    </xf>
    <xf numFmtId="164" fontId="7" fillId="2" borderId="5" xfId="0" applyNumberFormat="1" applyFont="1" applyFill="1" applyBorder="1" applyAlignment="1">
      <alignment horizontal="right"/>
    </xf>
    <xf numFmtId="164" fontId="9" fillId="2" borderId="5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14" fontId="0" fillId="0" borderId="5" xfId="0" applyNumberFormat="1" applyBorder="1"/>
    <xf numFmtId="164" fontId="4" fillId="0" borderId="0" xfId="0" applyNumberFormat="1" applyFont="1"/>
    <xf numFmtId="0" fontId="0" fillId="0" borderId="0" xfId="0" applyBorder="1"/>
    <xf numFmtId="14" fontId="0" fillId="0" borderId="0" xfId="0" applyNumberFormat="1" applyBorder="1"/>
    <xf numFmtId="164" fontId="4" fillId="3" borderId="5" xfId="0" applyNumberFormat="1" applyFont="1" applyFill="1" applyBorder="1"/>
    <xf numFmtId="164" fontId="0" fillId="0" borderId="0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73"/>
  <sheetViews>
    <sheetView topLeftCell="A19" workbookViewId="0">
      <selection activeCell="F35" sqref="F35"/>
    </sheetView>
  </sheetViews>
  <sheetFormatPr baseColWidth="10" defaultRowHeight="14.4" x14ac:dyDescent="0.3"/>
  <cols>
    <col min="2" max="2" width="28.5546875" customWidth="1"/>
    <col min="4" max="4" width="13.21875" bestFit="1" customWidth="1"/>
    <col min="6" max="6" width="14.44140625" customWidth="1"/>
  </cols>
  <sheetData>
    <row r="3" spans="2:10" ht="15" thickBot="1" x14ac:dyDescent="0.35"/>
    <row r="4" spans="2:10" ht="15" thickBot="1" x14ac:dyDescent="0.35">
      <c r="B4" s="1"/>
      <c r="C4" s="1"/>
      <c r="D4" s="1"/>
      <c r="E4" s="87" t="s">
        <v>0</v>
      </c>
      <c r="F4" s="88"/>
      <c r="G4" s="1"/>
      <c r="H4" s="1"/>
      <c r="I4" s="1"/>
      <c r="J4" s="1"/>
    </row>
    <row r="5" spans="2:10" ht="15" thickBot="1" x14ac:dyDescent="0.35">
      <c r="B5" s="1"/>
      <c r="C5" s="1"/>
      <c r="D5" s="1"/>
      <c r="E5" s="2">
        <v>0.4</v>
      </c>
      <c r="F5" s="1"/>
      <c r="G5" s="1"/>
      <c r="H5" s="1"/>
      <c r="I5" s="1"/>
      <c r="J5" s="1"/>
    </row>
    <row r="6" spans="2:10" ht="15" thickBot="1" x14ac:dyDescent="0.35">
      <c r="B6" s="1"/>
      <c r="C6" s="1"/>
      <c r="D6" s="1"/>
      <c r="E6" s="3"/>
      <c r="F6" s="1"/>
      <c r="G6" s="1"/>
      <c r="H6" s="1"/>
      <c r="I6" s="1"/>
      <c r="J6" s="1"/>
    </row>
    <row r="7" spans="2:10" ht="42.6" thickBot="1" x14ac:dyDescent="0.35">
      <c r="B7" s="4" t="s">
        <v>1</v>
      </c>
      <c r="C7" s="4" t="s">
        <v>2</v>
      </c>
      <c r="D7" s="5" t="s">
        <v>3</v>
      </c>
      <c r="E7" s="4" t="s">
        <v>4</v>
      </c>
      <c r="F7" s="6" t="s">
        <v>5</v>
      </c>
      <c r="G7" s="1"/>
      <c r="H7" s="7" t="s">
        <v>6</v>
      </c>
      <c r="I7" s="7" t="s">
        <v>7</v>
      </c>
      <c r="J7" s="8"/>
    </row>
    <row r="8" spans="2:10" ht="15" thickBot="1" x14ac:dyDescent="0.35">
      <c r="B8" s="8" t="s">
        <v>8</v>
      </c>
      <c r="C8" s="9">
        <v>1456</v>
      </c>
      <c r="D8" s="9">
        <f>C8/(1-E5)</f>
        <v>2426.666666666667</v>
      </c>
      <c r="E8" s="9">
        <f>D8-C8</f>
        <v>970.66666666666697</v>
      </c>
      <c r="F8" s="9">
        <f>D8*19%+D8</f>
        <v>2887.7333333333336</v>
      </c>
      <c r="G8" s="1"/>
      <c r="H8" s="10">
        <v>2590</v>
      </c>
      <c r="I8" s="10">
        <v>2790</v>
      </c>
      <c r="J8" s="10">
        <f>H8-F8</f>
        <v>-297.73333333333358</v>
      </c>
    </row>
    <row r="9" spans="2:10" ht="15" thickBot="1" x14ac:dyDescent="0.35">
      <c r="B9" s="8" t="s">
        <v>9</v>
      </c>
      <c r="C9" s="9">
        <v>1406</v>
      </c>
      <c r="D9" s="9">
        <f>C9/(1-E5)</f>
        <v>2343.3333333333335</v>
      </c>
      <c r="E9" s="9">
        <f t="shared" ref="E9:E20" si="0">D9-C9</f>
        <v>937.33333333333348</v>
      </c>
      <c r="F9" s="9">
        <f t="shared" ref="F9:F20" si="1">D9*19%+D9</f>
        <v>2788.5666666666666</v>
      </c>
      <c r="G9" s="1"/>
      <c r="H9" s="11">
        <v>2790</v>
      </c>
      <c r="I9" s="11">
        <v>2790</v>
      </c>
      <c r="J9" s="11">
        <f t="shared" ref="J9:J20" si="2">H9-F9</f>
        <v>1.433333333333394</v>
      </c>
    </row>
    <row r="10" spans="2:10" ht="15" thickBot="1" x14ac:dyDescent="0.35">
      <c r="B10" s="8" t="s">
        <v>10</v>
      </c>
      <c r="C10" s="9">
        <v>1205</v>
      </c>
      <c r="D10" s="9">
        <f>C10/(1-E5)</f>
        <v>2008.3333333333335</v>
      </c>
      <c r="E10" s="9">
        <f t="shared" si="0"/>
        <v>803.33333333333348</v>
      </c>
      <c r="F10" s="9">
        <f>D10*19%+D10</f>
        <v>2389.916666666667</v>
      </c>
      <c r="G10" s="1"/>
      <c r="H10" s="11">
        <v>2390</v>
      </c>
      <c r="I10" s="11">
        <v>2590</v>
      </c>
      <c r="J10" s="11">
        <f t="shared" si="2"/>
        <v>8.3333333333030168E-2</v>
      </c>
    </row>
    <row r="11" spans="2:10" ht="15" thickBot="1" x14ac:dyDescent="0.35">
      <c r="B11" s="8" t="s">
        <v>11</v>
      </c>
      <c r="C11" s="9">
        <v>1506</v>
      </c>
      <c r="D11" s="9">
        <f>C11/(1-E5)</f>
        <v>2510</v>
      </c>
      <c r="E11" s="9">
        <f t="shared" si="0"/>
        <v>1004</v>
      </c>
      <c r="F11" s="9">
        <f t="shared" si="1"/>
        <v>2986.9</v>
      </c>
      <c r="G11" s="1"/>
      <c r="H11" s="11">
        <v>2990</v>
      </c>
      <c r="I11" s="11">
        <v>2990</v>
      </c>
      <c r="J11" s="11">
        <f t="shared" si="2"/>
        <v>3.0999999999999091</v>
      </c>
    </row>
    <row r="12" spans="2:10" ht="15" thickBot="1" x14ac:dyDescent="0.35">
      <c r="B12" s="8" t="s">
        <v>12</v>
      </c>
      <c r="C12" s="9">
        <v>2508</v>
      </c>
      <c r="D12" s="9">
        <f>C12/(1-E5)</f>
        <v>4180</v>
      </c>
      <c r="E12" s="9">
        <f t="shared" si="0"/>
        <v>1672</v>
      </c>
      <c r="F12" s="9">
        <f t="shared" si="1"/>
        <v>4974.2</v>
      </c>
      <c r="G12" s="1"/>
      <c r="H12" s="11">
        <v>4390</v>
      </c>
      <c r="I12" s="11">
        <v>4580</v>
      </c>
      <c r="J12" s="11">
        <f t="shared" si="2"/>
        <v>-584.19999999999982</v>
      </c>
    </row>
    <row r="13" spans="2:10" ht="15" thickBot="1" x14ac:dyDescent="0.35">
      <c r="B13" s="8" t="s">
        <v>13</v>
      </c>
      <c r="C13" s="9">
        <v>1255</v>
      </c>
      <c r="D13" s="9">
        <f>C13/(1-E5)</f>
        <v>2091.666666666667</v>
      </c>
      <c r="E13" s="9">
        <f t="shared" si="0"/>
        <v>836.66666666666697</v>
      </c>
      <c r="F13" s="9">
        <f t="shared" si="1"/>
        <v>2489.0833333333339</v>
      </c>
      <c r="G13" s="1"/>
      <c r="H13" s="11">
        <v>2890</v>
      </c>
      <c r="I13" s="11">
        <v>2890</v>
      </c>
      <c r="J13" s="11">
        <f t="shared" si="2"/>
        <v>400.91666666666606</v>
      </c>
    </row>
    <row r="14" spans="2:10" ht="15" thickBot="1" x14ac:dyDescent="0.35">
      <c r="B14" s="8" t="s">
        <v>14</v>
      </c>
      <c r="C14" s="9">
        <v>2256</v>
      </c>
      <c r="D14" s="9">
        <f>C14/(1-E5)</f>
        <v>3760</v>
      </c>
      <c r="E14" s="9">
        <f t="shared" si="0"/>
        <v>1504</v>
      </c>
      <c r="F14" s="9">
        <f t="shared" si="1"/>
        <v>4474.3999999999996</v>
      </c>
      <c r="G14" s="1"/>
      <c r="H14" s="11">
        <v>3990</v>
      </c>
      <c r="I14" s="11">
        <v>4390</v>
      </c>
      <c r="J14" s="11">
        <f t="shared" si="2"/>
        <v>-484.39999999999964</v>
      </c>
    </row>
    <row r="15" spans="2:10" ht="15" thickBot="1" x14ac:dyDescent="0.35">
      <c r="B15" s="8" t="s">
        <v>15</v>
      </c>
      <c r="C15" s="9">
        <v>2590</v>
      </c>
      <c r="D15" s="9">
        <f>C15/(1-E5)</f>
        <v>4316.666666666667</v>
      </c>
      <c r="E15" s="9">
        <f t="shared" si="0"/>
        <v>1726.666666666667</v>
      </c>
      <c r="F15" s="9">
        <f t="shared" si="1"/>
        <v>5136.8333333333339</v>
      </c>
      <c r="G15" s="1"/>
      <c r="H15" s="11">
        <v>4590</v>
      </c>
      <c r="I15" s="11">
        <v>4870</v>
      </c>
      <c r="J15" s="11">
        <f t="shared" si="2"/>
        <v>-546.83333333333394</v>
      </c>
    </row>
    <row r="16" spans="2:10" ht="15" thickBot="1" x14ac:dyDescent="0.35">
      <c r="B16" s="8" t="s">
        <v>16</v>
      </c>
      <c r="C16" s="9">
        <v>1505</v>
      </c>
      <c r="D16" s="9">
        <f>C16/(1-E5)</f>
        <v>2508.3333333333335</v>
      </c>
      <c r="E16" s="9">
        <f t="shared" si="0"/>
        <v>1003.3333333333335</v>
      </c>
      <c r="F16" s="9">
        <f t="shared" si="1"/>
        <v>2984.916666666667</v>
      </c>
      <c r="G16" s="1"/>
      <c r="H16" s="11">
        <v>2890</v>
      </c>
      <c r="I16" s="11">
        <v>2990</v>
      </c>
      <c r="J16" s="11">
        <f t="shared" si="2"/>
        <v>-94.91666666666697</v>
      </c>
    </row>
    <row r="17" spans="2:10" ht="15" thickBot="1" x14ac:dyDescent="0.35">
      <c r="B17" s="8" t="s">
        <v>17</v>
      </c>
      <c r="C17" s="8">
        <v>1508</v>
      </c>
      <c r="D17" s="9">
        <f>C17/(1-E5)</f>
        <v>2513.3333333333335</v>
      </c>
      <c r="E17" s="9">
        <f t="shared" si="0"/>
        <v>1005.3333333333335</v>
      </c>
      <c r="F17" s="9">
        <f t="shared" si="1"/>
        <v>2990.8666666666668</v>
      </c>
      <c r="G17" s="1"/>
      <c r="H17" s="11">
        <v>2690</v>
      </c>
      <c r="I17" s="11">
        <v>2790</v>
      </c>
      <c r="J17" s="11">
        <f t="shared" si="2"/>
        <v>-300.86666666666679</v>
      </c>
    </row>
    <row r="18" spans="2:10" ht="15" thickBot="1" x14ac:dyDescent="0.35">
      <c r="B18" s="12" t="s">
        <v>18</v>
      </c>
      <c r="C18" s="13">
        <v>779</v>
      </c>
      <c r="D18" s="9">
        <f>C18/(1-E5)</f>
        <v>1298.3333333333335</v>
      </c>
      <c r="E18" s="9">
        <f t="shared" si="0"/>
        <v>519.33333333333348</v>
      </c>
      <c r="F18" s="9">
        <f t="shared" si="1"/>
        <v>1545.0166666666669</v>
      </c>
      <c r="G18" s="1"/>
      <c r="H18" s="11">
        <v>1390</v>
      </c>
      <c r="I18" s="11">
        <v>1590</v>
      </c>
      <c r="J18" s="11">
        <f t="shared" si="2"/>
        <v>-155.01666666666688</v>
      </c>
    </row>
    <row r="19" spans="2:10" ht="15" thickBot="1" x14ac:dyDescent="0.35">
      <c r="B19" s="8" t="s">
        <v>19</v>
      </c>
      <c r="C19" s="8">
        <v>421</v>
      </c>
      <c r="D19" s="9">
        <f>C19/(1-E5)</f>
        <v>701.66666666666674</v>
      </c>
      <c r="E19" s="9">
        <f t="shared" si="0"/>
        <v>280.66666666666674</v>
      </c>
      <c r="F19" s="9">
        <f t="shared" si="1"/>
        <v>834.98333333333346</v>
      </c>
      <c r="G19" s="1"/>
      <c r="H19" s="11">
        <v>1090</v>
      </c>
      <c r="I19" s="11">
        <v>1090</v>
      </c>
      <c r="J19" s="11">
        <f t="shared" si="2"/>
        <v>255.01666666666654</v>
      </c>
    </row>
    <row r="20" spans="2:10" ht="15" thickBot="1" x14ac:dyDescent="0.35">
      <c r="B20" s="12" t="s">
        <v>20</v>
      </c>
      <c r="C20" s="8">
        <v>1008</v>
      </c>
      <c r="D20" s="9">
        <f>C20/(1-E5)</f>
        <v>1680</v>
      </c>
      <c r="E20" s="9">
        <f t="shared" si="0"/>
        <v>672</v>
      </c>
      <c r="F20" s="9">
        <f t="shared" si="1"/>
        <v>1999.2</v>
      </c>
      <c r="G20" s="1"/>
      <c r="H20" s="11">
        <v>1190</v>
      </c>
      <c r="I20" s="11">
        <v>2100</v>
      </c>
      <c r="J20" s="11">
        <f t="shared" si="2"/>
        <v>-809.2</v>
      </c>
    </row>
    <row r="22" spans="2:10" ht="15" thickBot="1" x14ac:dyDescent="0.35"/>
    <row r="23" spans="2:10" ht="15" thickBot="1" x14ac:dyDescent="0.35">
      <c r="E23" s="87" t="s">
        <v>0</v>
      </c>
      <c r="F23" s="88"/>
    </row>
    <row r="24" spans="2:10" ht="15" thickBot="1" x14ac:dyDescent="0.35">
      <c r="E24" s="2">
        <v>0.4</v>
      </c>
      <c r="F24" s="1"/>
    </row>
    <row r="25" spans="2:10" ht="42.6" thickBot="1" x14ac:dyDescent="0.35">
      <c r="B25" s="4" t="s">
        <v>21</v>
      </c>
      <c r="C25" s="4" t="s">
        <v>2</v>
      </c>
      <c r="D25" s="5" t="s">
        <v>3</v>
      </c>
      <c r="E25" s="4" t="s">
        <v>4</v>
      </c>
      <c r="F25" s="6" t="s">
        <v>5</v>
      </c>
      <c r="G25" s="1"/>
      <c r="H25" s="14" t="s">
        <v>6</v>
      </c>
      <c r="I25" s="14" t="s">
        <v>7</v>
      </c>
      <c r="J25" s="15"/>
    </row>
    <row r="26" spans="2:10" ht="15" thickBot="1" x14ac:dyDescent="0.35">
      <c r="B26" s="8" t="s">
        <v>22</v>
      </c>
      <c r="C26" s="9">
        <v>3136</v>
      </c>
      <c r="D26" s="9">
        <f>C26/(1-E24)</f>
        <v>5226.666666666667</v>
      </c>
      <c r="E26" s="9">
        <f>D26-C26</f>
        <v>2090.666666666667</v>
      </c>
      <c r="F26" s="9">
        <f>D26*24%+D26</f>
        <v>6481.0666666666675</v>
      </c>
      <c r="G26" s="1"/>
      <c r="H26" s="11">
        <v>6390</v>
      </c>
      <c r="I26" s="11">
        <v>6450</v>
      </c>
      <c r="J26" s="11">
        <f>H26-F26</f>
        <v>-91.066666666667516</v>
      </c>
    </row>
    <row r="27" spans="2:10" ht="15" thickBot="1" x14ac:dyDescent="0.35">
      <c r="B27" s="8" t="s">
        <v>23</v>
      </c>
      <c r="C27" s="9">
        <v>2297</v>
      </c>
      <c r="D27" s="9">
        <f>C27/(1-E24)</f>
        <v>3828.3333333333335</v>
      </c>
      <c r="E27" s="9">
        <f t="shared" ref="E27:E34" si="3">D27-C27</f>
        <v>1531.3333333333335</v>
      </c>
      <c r="F27" s="9">
        <f t="shared" ref="F27:F34" si="4">D27*24%+D27</f>
        <v>4747.1333333333332</v>
      </c>
      <c r="G27" s="1"/>
      <c r="H27" s="11">
        <v>3990</v>
      </c>
      <c r="I27" s="11">
        <v>4490</v>
      </c>
      <c r="J27" s="11">
        <f t="shared" ref="J27:J34" si="5">H27-F27</f>
        <v>-757.13333333333321</v>
      </c>
    </row>
    <row r="28" spans="2:10" ht="15" thickBot="1" x14ac:dyDescent="0.35">
      <c r="B28" s="8" t="s">
        <v>24</v>
      </c>
      <c r="C28" s="9">
        <v>3093</v>
      </c>
      <c r="D28" s="9">
        <f>C28/(1-E24)</f>
        <v>5155</v>
      </c>
      <c r="E28" s="9">
        <f t="shared" si="3"/>
        <v>2062</v>
      </c>
      <c r="F28" s="9">
        <f t="shared" si="4"/>
        <v>6392.2</v>
      </c>
      <c r="G28" s="1"/>
      <c r="H28" s="11">
        <v>5490</v>
      </c>
      <c r="I28" s="11">
        <v>5890</v>
      </c>
      <c r="J28" s="11">
        <f t="shared" si="5"/>
        <v>-902.19999999999982</v>
      </c>
    </row>
    <row r="29" spans="2:10" ht="15" thickBot="1" x14ac:dyDescent="0.35">
      <c r="B29" s="8" t="s">
        <v>25</v>
      </c>
      <c r="C29" s="9">
        <v>2797</v>
      </c>
      <c r="D29" s="9">
        <f>C29/(1-E24)</f>
        <v>4661.666666666667</v>
      </c>
      <c r="E29" s="9">
        <f t="shared" si="3"/>
        <v>1864.666666666667</v>
      </c>
      <c r="F29" s="9">
        <f t="shared" si="4"/>
        <v>5780.4666666666672</v>
      </c>
      <c r="G29" s="1"/>
      <c r="H29" s="11">
        <v>4890</v>
      </c>
      <c r="I29" s="11">
        <v>5780</v>
      </c>
      <c r="J29" s="11">
        <f t="shared" si="5"/>
        <v>-890.46666666666715</v>
      </c>
    </row>
    <row r="30" spans="2:10" ht="15" thickBot="1" x14ac:dyDescent="0.35">
      <c r="B30" s="8" t="s">
        <v>26</v>
      </c>
      <c r="C30" s="9">
        <v>1396</v>
      </c>
      <c r="D30" s="9">
        <f>C30/(1-E24)</f>
        <v>2326.666666666667</v>
      </c>
      <c r="E30" s="9">
        <f t="shared" si="3"/>
        <v>930.66666666666697</v>
      </c>
      <c r="F30" s="9">
        <f t="shared" si="4"/>
        <v>2885.0666666666671</v>
      </c>
      <c r="G30" s="1"/>
      <c r="H30" s="11">
        <v>2990</v>
      </c>
      <c r="I30" s="11">
        <v>2990</v>
      </c>
      <c r="J30" s="11">
        <f t="shared" si="5"/>
        <v>104.93333333333294</v>
      </c>
    </row>
    <row r="31" spans="2:10" ht="15" thickBot="1" x14ac:dyDescent="0.35">
      <c r="B31" s="8" t="s">
        <v>27</v>
      </c>
      <c r="C31" s="9">
        <v>2898</v>
      </c>
      <c r="D31" s="9">
        <f>C31/(1-E24)</f>
        <v>4830</v>
      </c>
      <c r="E31" s="9">
        <f t="shared" si="3"/>
        <v>1932</v>
      </c>
      <c r="F31" s="9">
        <f t="shared" si="4"/>
        <v>5989.2</v>
      </c>
      <c r="G31" s="1"/>
      <c r="H31" s="11">
        <v>4990</v>
      </c>
      <c r="I31" s="11">
        <v>5630</v>
      </c>
      <c r="J31" s="11">
        <f t="shared" si="5"/>
        <v>-999.19999999999982</v>
      </c>
    </row>
    <row r="32" spans="2:10" ht="15" thickBot="1" x14ac:dyDescent="0.35">
      <c r="B32" s="8" t="s">
        <v>28</v>
      </c>
      <c r="C32" s="9">
        <v>3149</v>
      </c>
      <c r="D32" s="9">
        <f>C32/(1-E24)</f>
        <v>5248.3333333333339</v>
      </c>
      <c r="E32" s="9">
        <f t="shared" si="3"/>
        <v>2099.3333333333339</v>
      </c>
      <c r="F32" s="9">
        <f t="shared" si="4"/>
        <v>6507.9333333333343</v>
      </c>
      <c r="G32" s="1"/>
      <c r="H32" s="11"/>
      <c r="I32" s="11">
        <v>5690</v>
      </c>
      <c r="J32" s="11">
        <f t="shared" si="5"/>
        <v>-6507.9333333333343</v>
      </c>
    </row>
    <row r="33" spans="2:10" ht="15" thickBot="1" x14ac:dyDescent="0.35">
      <c r="B33" s="8" t="s">
        <v>29</v>
      </c>
      <c r="C33" s="9">
        <v>1175</v>
      </c>
      <c r="D33" s="9">
        <f>C33/(1-E24)</f>
        <v>1958.3333333333335</v>
      </c>
      <c r="E33" s="9">
        <f t="shared" si="3"/>
        <v>783.33333333333348</v>
      </c>
      <c r="F33" s="9">
        <f t="shared" si="4"/>
        <v>2428.3333333333335</v>
      </c>
      <c r="G33" s="1"/>
      <c r="H33" s="11"/>
      <c r="I33" s="11">
        <v>2390</v>
      </c>
      <c r="J33" s="11">
        <f t="shared" si="5"/>
        <v>-2428.3333333333335</v>
      </c>
    </row>
    <row r="34" spans="2:10" ht="15" thickBot="1" x14ac:dyDescent="0.35">
      <c r="B34" s="8" t="s">
        <v>30</v>
      </c>
      <c r="C34" s="9">
        <v>1525</v>
      </c>
      <c r="D34" s="9">
        <f>C34/(1-E24)</f>
        <v>2541.666666666667</v>
      </c>
      <c r="E34" s="9">
        <f t="shared" si="3"/>
        <v>1016.666666666667</v>
      </c>
      <c r="F34" s="9">
        <f t="shared" si="4"/>
        <v>3151.666666666667</v>
      </c>
      <c r="G34" s="1"/>
      <c r="H34" s="11"/>
      <c r="I34" s="11">
        <v>3150</v>
      </c>
      <c r="J34" s="11">
        <f t="shared" si="5"/>
        <v>-3151.666666666667</v>
      </c>
    </row>
    <row r="36" spans="2:10" ht="15" thickBot="1" x14ac:dyDescent="0.35"/>
    <row r="37" spans="2:10" ht="15" thickBot="1" x14ac:dyDescent="0.35">
      <c r="E37" s="87" t="s">
        <v>0</v>
      </c>
      <c r="F37" s="88"/>
    </row>
    <row r="38" spans="2:10" ht="15" thickBot="1" x14ac:dyDescent="0.35">
      <c r="E38" s="2">
        <v>0.4</v>
      </c>
      <c r="F38" s="1"/>
    </row>
    <row r="39" spans="2:10" ht="42.6" thickBot="1" x14ac:dyDescent="0.35">
      <c r="B39" s="4" t="s">
        <v>31</v>
      </c>
      <c r="C39" s="4" t="s">
        <v>2</v>
      </c>
      <c r="D39" s="5" t="s">
        <v>3</v>
      </c>
      <c r="E39" s="4" t="s">
        <v>4</v>
      </c>
      <c r="F39" s="6" t="s">
        <v>5</v>
      </c>
      <c r="G39" s="1"/>
      <c r="H39" s="14" t="s">
        <v>6</v>
      </c>
      <c r="I39" s="14" t="s">
        <v>7</v>
      </c>
      <c r="J39" s="15"/>
    </row>
    <row r="40" spans="2:10" ht="15" thickBot="1" x14ac:dyDescent="0.35">
      <c r="B40" s="8" t="s">
        <v>32</v>
      </c>
      <c r="C40" s="9">
        <v>1126</v>
      </c>
      <c r="D40" s="9">
        <f>C40/(1-E38)</f>
        <v>1876.6666666666667</v>
      </c>
      <c r="E40" s="9">
        <f>D40-C40</f>
        <v>750.66666666666674</v>
      </c>
      <c r="F40" s="9">
        <f>D40*19%+D40</f>
        <v>2233.2333333333336</v>
      </c>
      <c r="G40" s="1"/>
      <c r="H40" s="11">
        <v>3490</v>
      </c>
      <c r="I40" s="11">
        <v>3490</v>
      </c>
      <c r="J40" s="11">
        <f>H40-F40</f>
        <v>1256.7666666666664</v>
      </c>
    </row>
    <row r="41" spans="2:10" ht="15" thickBot="1" x14ac:dyDescent="0.35">
      <c r="B41" s="8" t="s">
        <v>33</v>
      </c>
      <c r="C41" s="9">
        <v>3072</v>
      </c>
      <c r="D41" s="9">
        <f>C41/(1-E38)</f>
        <v>5120</v>
      </c>
      <c r="E41" s="9">
        <f>D41-C41</f>
        <v>2048</v>
      </c>
      <c r="F41" s="9">
        <f>D41*19%+D41</f>
        <v>6092.8</v>
      </c>
      <c r="G41" s="1"/>
      <c r="H41" s="11">
        <v>5290</v>
      </c>
      <c r="I41" s="11">
        <v>5290</v>
      </c>
      <c r="J41" s="11">
        <f>H41-F41</f>
        <v>-802.80000000000018</v>
      </c>
    </row>
    <row r="42" spans="2:10" ht="15" thickBot="1" x14ac:dyDescent="0.35">
      <c r="B42" s="8" t="s">
        <v>34</v>
      </c>
      <c r="C42" s="9">
        <v>2076</v>
      </c>
      <c r="D42" s="9">
        <f>C42/(1-E38)</f>
        <v>3460</v>
      </c>
      <c r="E42" s="9">
        <f>D42-C42</f>
        <v>1384</v>
      </c>
      <c r="F42" s="9">
        <f>D42*19%+D42</f>
        <v>4117.3999999999996</v>
      </c>
      <c r="G42" s="1"/>
      <c r="H42" s="11">
        <v>2990</v>
      </c>
      <c r="I42" s="11">
        <v>3570</v>
      </c>
      <c r="J42" s="11">
        <f>H42-F42</f>
        <v>-1127.3999999999996</v>
      </c>
    </row>
    <row r="43" spans="2:10" ht="15" thickBot="1" x14ac:dyDescent="0.35">
      <c r="B43" s="8" t="s">
        <v>35</v>
      </c>
      <c r="C43" s="9">
        <v>1031</v>
      </c>
      <c r="D43" s="9">
        <f>C43/(1-E38)</f>
        <v>1718.3333333333335</v>
      </c>
      <c r="E43" s="9">
        <f>D43-C43</f>
        <v>687.33333333333348</v>
      </c>
      <c r="F43" s="9">
        <f>D43*19%+D43</f>
        <v>2044.8166666666668</v>
      </c>
      <c r="G43" s="1"/>
      <c r="H43" s="11"/>
      <c r="I43" s="11">
        <v>2390</v>
      </c>
      <c r="J43" s="11">
        <f>H43-F43</f>
        <v>-2044.8166666666668</v>
      </c>
    </row>
    <row r="45" spans="2:10" ht="15" thickBot="1" x14ac:dyDescent="0.35"/>
    <row r="46" spans="2:10" ht="15" thickBot="1" x14ac:dyDescent="0.35">
      <c r="E46" s="87" t="s">
        <v>0</v>
      </c>
      <c r="F46" s="88"/>
    </row>
    <row r="47" spans="2:10" ht="15" thickBot="1" x14ac:dyDescent="0.35">
      <c r="E47" s="2">
        <v>0.45</v>
      </c>
      <c r="F47" s="1"/>
    </row>
    <row r="48" spans="2:10" ht="42.6" thickBot="1" x14ac:dyDescent="0.35">
      <c r="B48" s="4" t="s">
        <v>53</v>
      </c>
      <c r="C48" s="4" t="s">
        <v>2</v>
      </c>
      <c r="D48" s="5" t="s">
        <v>3</v>
      </c>
      <c r="E48" s="4" t="s">
        <v>4</v>
      </c>
      <c r="F48" s="6" t="s">
        <v>5</v>
      </c>
      <c r="G48" s="1"/>
      <c r="H48" s="14" t="s">
        <v>6</v>
      </c>
      <c r="I48" s="14" t="s">
        <v>7</v>
      </c>
      <c r="J48" s="15"/>
    </row>
    <row r="49" spans="2:10" ht="15" thickBot="1" x14ac:dyDescent="0.35">
      <c r="B49" s="8" t="s">
        <v>36</v>
      </c>
      <c r="C49" s="9">
        <v>4830</v>
      </c>
      <c r="D49" s="9">
        <f>C49/(1-E47)</f>
        <v>8781.818181818182</v>
      </c>
      <c r="E49" s="9">
        <f>D49-C49</f>
        <v>3951.818181818182</v>
      </c>
      <c r="F49" s="9">
        <f>D49*24%+D49</f>
        <v>10889.454545454546</v>
      </c>
      <c r="G49" s="1"/>
      <c r="H49" s="11">
        <v>6990</v>
      </c>
      <c r="I49" s="11">
        <v>7600</v>
      </c>
      <c r="J49" s="11">
        <f>H49-F49</f>
        <v>-3899.454545454546</v>
      </c>
    </row>
    <row r="50" spans="2:10" ht="15" thickBot="1" x14ac:dyDescent="0.35">
      <c r="B50" s="8" t="s">
        <v>37</v>
      </c>
      <c r="C50" s="9">
        <v>2000</v>
      </c>
      <c r="D50" s="9">
        <f>C50/(1-E47)</f>
        <v>3636.363636363636</v>
      </c>
      <c r="E50" s="9">
        <f t="shared" ref="E50:E58" si="6">D50-C50</f>
        <v>1636.363636363636</v>
      </c>
      <c r="F50" s="9">
        <f t="shared" ref="F50:F58" si="7">D50*24%+D50</f>
        <v>4509.090909090909</v>
      </c>
      <c r="G50" s="1"/>
      <c r="H50" s="11">
        <v>3570</v>
      </c>
      <c r="I50" s="11">
        <v>3815</v>
      </c>
      <c r="J50" s="11">
        <f t="shared" ref="J50:J58" si="8">H50-F50</f>
        <v>-939.09090909090901</v>
      </c>
    </row>
    <row r="51" spans="2:10" ht="15" thickBot="1" x14ac:dyDescent="0.35">
      <c r="B51" s="8" t="s">
        <v>38</v>
      </c>
      <c r="C51" s="9">
        <v>800</v>
      </c>
      <c r="D51" s="9">
        <f>C51/(1-E47)</f>
        <v>1454.5454545454545</v>
      </c>
      <c r="E51" s="9">
        <f t="shared" si="6"/>
        <v>654.5454545454545</v>
      </c>
      <c r="F51" s="9">
        <f t="shared" si="7"/>
        <v>1803.6363636363635</v>
      </c>
      <c r="G51" s="1"/>
      <c r="H51" s="11">
        <v>1590</v>
      </c>
      <c r="I51" s="11">
        <v>1590</v>
      </c>
      <c r="J51" s="11">
        <f t="shared" si="8"/>
        <v>-213.63636363636351</v>
      </c>
    </row>
    <row r="52" spans="2:10" ht="15" thickBot="1" x14ac:dyDescent="0.35">
      <c r="B52" s="8" t="s">
        <v>32</v>
      </c>
      <c r="C52" s="9">
        <v>4800</v>
      </c>
      <c r="D52" s="9">
        <f>C52/(1-E47)</f>
        <v>8727.2727272727261</v>
      </c>
      <c r="E52" s="9">
        <f t="shared" si="6"/>
        <v>3927.2727272727261</v>
      </c>
      <c r="F52" s="9">
        <f t="shared" si="7"/>
        <v>10821.81818181818</v>
      </c>
      <c r="G52" s="1"/>
      <c r="H52" s="11">
        <v>8490</v>
      </c>
      <c r="I52" s="11">
        <v>8890</v>
      </c>
      <c r="J52" s="11">
        <f t="shared" si="8"/>
        <v>-2331.8181818181802</v>
      </c>
    </row>
    <row r="53" spans="2:10" ht="15" thickBot="1" x14ac:dyDescent="0.35">
      <c r="B53" s="8" t="s">
        <v>39</v>
      </c>
      <c r="C53" s="9">
        <v>8750</v>
      </c>
      <c r="D53" s="9">
        <f>C53/(1-E47)</f>
        <v>15909.090909090908</v>
      </c>
      <c r="E53" s="9">
        <f t="shared" si="6"/>
        <v>7159.0909090909081</v>
      </c>
      <c r="F53" s="9">
        <f t="shared" si="7"/>
        <v>19727.272727272728</v>
      </c>
      <c r="G53" s="1"/>
      <c r="H53" s="11">
        <v>15690</v>
      </c>
      <c r="I53" s="11">
        <v>15690</v>
      </c>
      <c r="J53" s="11">
        <f t="shared" si="8"/>
        <v>-4037.2727272727279</v>
      </c>
    </row>
    <row r="54" spans="2:10" ht="15" thickBot="1" x14ac:dyDescent="0.35">
      <c r="B54" s="8" t="s">
        <v>40</v>
      </c>
      <c r="C54" s="9">
        <v>6365</v>
      </c>
      <c r="D54" s="9">
        <f>C54/(1-E47)</f>
        <v>11572.727272727272</v>
      </c>
      <c r="E54" s="9">
        <f t="shared" si="6"/>
        <v>5207.7272727272721</v>
      </c>
      <c r="F54" s="9">
        <f t="shared" si="7"/>
        <v>14350.181818181816</v>
      </c>
      <c r="G54" s="1"/>
      <c r="H54" s="11">
        <v>10990</v>
      </c>
      <c r="I54" s="11">
        <v>10990</v>
      </c>
      <c r="J54" s="11">
        <f t="shared" si="8"/>
        <v>-3360.1818181818162</v>
      </c>
    </row>
    <row r="55" spans="2:10" ht="15" thickBot="1" x14ac:dyDescent="0.35">
      <c r="B55" s="8" t="s">
        <v>41</v>
      </c>
      <c r="C55" s="9">
        <v>5240</v>
      </c>
      <c r="D55" s="9">
        <f>C55/(1-E47)</f>
        <v>9527.2727272727261</v>
      </c>
      <c r="E55" s="9">
        <f t="shared" si="6"/>
        <v>4287.2727272727261</v>
      </c>
      <c r="F55" s="9">
        <f t="shared" si="7"/>
        <v>11813.81818181818</v>
      </c>
      <c r="G55" s="1"/>
      <c r="H55" s="11">
        <v>9990</v>
      </c>
      <c r="I55" s="11">
        <v>9990</v>
      </c>
      <c r="J55" s="11">
        <f t="shared" si="8"/>
        <v>-1823.8181818181802</v>
      </c>
    </row>
    <row r="56" spans="2:10" ht="15" thickBot="1" x14ac:dyDescent="0.35">
      <c r="B56" s="8" t="s">
        <v>42</v>
      </c>
      <c r="C56" s="9">
        <v>4550</v>
      </c>
      <c r="D56" s="9">
        <f>C56/(1-E47)</f>
        <v>8272.7272727272721</v>
      </c>
      <c r="E56" s="9">
        <f t="shared" si="6"/>
        <v>3722.7272727272721</v>
      </c>
      <c r="F56" s="9">
        <f t="shared" si="7"/>
        <v>10258.181818181818</v>
      </c>
      <c r="G56" s="1"/>
      <c r="H56" s="11">
        <v>7990</v>
      </c>
      <c r="I56" s="11">
        <v>8680</v>
      </c>
      <c r="J56" s="11">
        <f t="shared" si="8"/>
        <v>-2268.181818181818</v>
      </c>
    </row>
    <row r="57" spans="2:10" ht="15" thickBot="1" x14ac:dyDescent="0.35">
      <c r="B57" s="8" t="s">
        <v>43</v>
      </c>
      <c r="C57" s="9">
        <v>4830</v>
      </c>
      <c r="D57" s="9">
        <f>C57/(1-E47)</f>
        <v>8781.818181818182</v>
      </c>
      <c r="E57" s="9">
        <f t="shared" si="6"/>
        <v>3951.818181818182</v>
      </c>
      <c r="F57" s="9">
        <f t="shared" si="7"/>
        <v>10889.454545454546</v>
      </c>
      <c r="G57" s="1"/>
      <c r="H57" s="11">
        <v>8690</v>
      </c>
      <c r="I57" s="11">
        <v>8990</v>
      </c>
      <c r="J57" s="11">
        <f t="shared" si="8"/>
        <v>-2199.454545454546</v>
      </c>
    </row>
    <row r="58" spans="2:10" ht="15" thickBot="1" x14ac:dyDescent="0.35">
      <c r="B58" s="8" t="s">
        <v>44</v>
      </c>
      <c r="C58" s="9">
        <v>4700</v>
      </c>
      <c r="D58" s="9">
        <f>C58/(1-E47)</f>
        <v>8545.4545454545441</v>
      </c>
      <c r="E58" s="9">
        <f t="shared" si="6"/>
        <v>3845.4545454545441</v>
      </c>
      <c r="F58" s="9">
        <f t="shared" si="7"/>
        <v>10596.363636363634</v>
      </c>
      <c r="G58" s="1"/>
      <c r="H58" s="11">
        <v>8490</v>
      </c>
      <c r="I58" s="11">
        <v>8990</v>
      </c>
      <c r="J58" s="11">
        <f t="shared" si="8"/>
        <v>-2106.3636363636342</v>
      </c>
    </row>
    <row r="59" spans="2:10" ht="15" thickBot="1" x14ac:dyDescent="0.35">
      <c r="B59" s="8" t="s">
        <v>55</v>
      </c>
      <c r="C59" s="9">
        <v>2521</v>
      </c>
      <c r="D59" s="9">
        <f>C59/(1-E47)</f>
        <v>4583.6363636363631</v>
      </c>
      <c r="E59" s="9">
        <f>D59-C59</f>
        <v>2062.6363636363631</v>
      </c>
      <c r="F59" s="9">
        <f>D59*19%+D59</f>
        <v>5454.5272727272722</v>
      </c>
      <c r="G59" s="1"/>
      <c r="H59" s="11"/>
      <c r="I59" s="11">
        <v>5450</v>
      </c>
      <c r="J59" s="11">
        <f>H59-F59</f>
        <v>-5454.5272727272722</v>
      </c>
    </row>
    <row r="60" spans="2:10" ht="15" thickBot="1" x14ac:dyDescent="0.35">
      <c r="B60" s="8" t="s">
        <v>56</v>
      </c>
      <c r="C60" s="9">
        <v>2521</v>
      </c>
      <c r="D60" s="9">
        <f>C60/(1-E47)</f>
        <v>4583.6363636363631</v>
      </c>
      <c r="E60" s="9">
        <f>D60-C60</f>
        <v>2062.6363636363631</v>
      </c>
      <c r="F60" s="9">
        <f>D60*19%+D60</f>
        <v>5454.5272727272722</v>
      </c>
      <c r="G60" s="1"/>
      <c r="H60" s="11"/>
      <c r="I60" s="11">
        <v>5450</v>
      </c>
      <c r="J60" s="11">
        <f>H60-F60</f>
        <v>-5454.5272727272722</v>
      </c>
    </row>
    <row r="61" spans="2:10" ht="15" thickBot="1" x14ac:dyDescent="0.35">
      <c r="B61" s="8" t="s">
        <v>57</v>
      </c>
      <c r="C61" s="9">
        <v>2100</v>
      </c>
      <c r="D61" s="9">
        <f>C61/(1-E47)</f>
        <v>3818.181818181818</v>
      </c>
      <c r="E61" s="9">
        <f>D61-C61</f>
        <v>1718.181818181818</v>
      </c>
      <c r="F61" s="9">
        <f>D61*19%+D61</f>
        <v>4543.6363636363631</v>
      </c>
      <c r="G61" s="1"/>
      <c r="H61" s="11"/>
      <c r="I61" s="11">
        <v>4490</v>
      </c>
      <c r="J61" s="11">
        <f>H61-F61</f>
        <v>-4543.6363636363631</v>
      </c>
    </row>
    <row r="62" spans="2:10" ht="15" thickBot="1" x14ac:dyDescent="0.35"/>
    <row r="63" spans="2:10" ht="15" thickBot="1" x14ac:dyDescent="0.35">
      <c r="B63" s="1"/>
      <c r="C63" s="1"/>
      <c r="D63" s="1"/>
      <c r="E63" s="87" t="s">
        <v>0</v>
      </c>
      <c r="F63" s="88"/>
      <c r="G63" s="1"/>
      <c r="H63" s="1"/>
      <c r="I63" s="1"/>
      <c r="J63" s="1"/>
    </row>
    <row r="64" spans="2:10" ht="15" thickBot="1" x14ac:dyDescent="0.35">
      <c r="B64" s="1"/>
      <c r="C64" s="1"/>
      <c r="D64" s="1"/>
      <c r="E64" s="2">
        <v>0.35</v>
      </c>
      <c r="F64" s="1"/>
      <c r="G64" s="1"/>
      <c r="H64" s="1"/>
      <c r="I64" s="1"/>
      <c r="J64" s="1"/>
    </row>
    <row r="65" spans="2:10" ht="15" thickBot="1" x14ac:dyDescent="0.35">
      <c r="B65" s="1"/>
      <c r="C65" s="1"/>
      <c r="D65" s="1"/>
      <c r="E65" s="3"/>
      <c r="F65" s="1"/>
      <c r="G65" s="1"/>
      <c r="H65" s="1"/>
      <c r="I65" s="1"/>
      <c r="J65" s="1"/>
    </row>
    <row r="66" spans="2:10" ht="42.6" thickBot="1" x14ac:dyDescent="0.35">
      <c r="B66" s="4" t="s">
        <v>45</v>
      </c>
      <c r="C66" s="4" t="s">
        <v>2</v>
      </c>
      <c r="D66" s="5" t="s">
        <v>3</v>
      </c>
      <c r="E66" s="4" t="s">
        <v>4</v>
      </c>
      <c r="F66" s="6" t="s">
        <v>5</v>
      </c>
      <c r="G66" s="1"/>
      <c r="H66" s="7" t="s">
        <v>6</v>
      </c>
      <c r="I66" s="7" t="s">
        <v>7</v>
      </c>
      <c r="J66" s="8"/>
    </row>
    <row r="67" spans="2:10" ht="15" thickBot="1" x14ac:dyDescent="0.35">
      <c r="B67" s="8" t="s">
        <v>49</v>
      </c>
      <c r="C67" s="9">
        <v>3782</v>
      </c>
      <c r="D67" s="9">
        <f>C67/(1-E64)</f>
        <v>5818.4615384615381</v>
      </c>
      <c r="E67" s="9">
        <f t="shared" ref="E67:E73" si="9">D67-C67</f>
        <v>2036.4615384615381</v>
      </c>
      <c r="F67" s="9">
        <f t="shared" ref="F67:F73" si="10">D67*19%+D67</f>
        <v>6923.9692307692303</v>
      </c>
      <c r="G67" s="1"/>
      <c r="H67" s="10">
        <v>6450</v>
      </c>
      <c r="I67" s="10">
        <v>6790</v>
      </c>
      <c r="J67" s="10">
        <f t="shared" ref="J67:J73" si="11">H67-F67</f>
        <v>-473.96923076923031</v>
      </c>
    </row>
    <row r="68" spans="2:10" ht="15" thickBot="1" x14ac:dyDescent="0.35">
      <c r="B68" s="8" t="s">
        <v>50</v>
      </c>
      <c r="C68" s="9">
        <v>4916</v>
      </c>
      <c r="D68" s="9">
        <f>C68/(1-E64)</f>
        <v>7563.0769230769229</v>
      </c>
      <c r="E68" s="9">
        <f t="shared" si="9"/>
        <v>2647.0769230769229</v>
      </c>
      <c r="F68" s="9">
        <f t="shared" si="10"/>
        <v>9000.0615384615376</v>
      </c>
      <c r="G68" s="1"/>
      <c r="H68" s="11">
        <v>8590</v>
      </c>
      <c r="I68" s="11">
        <v>8890</v>
      </c>
      <c r="J68" s="11">
        <f t="shared" si="11"/>
        <v>-410.06153846153757</v>
      </c>
    </row>
    <row r="69" spans="2:10" ht="15" thickBot="1" x14ac:dyDescent="0.35">
      <c r="B69" s="8" t="s">
        <v>51</v>
      </c>
      <c r="C69" s="9">
        <v>4160</v>
      </c>
      <c r="D69" s="9">
        <f>C69/(1-E64)</f>
        <v>6400</v>
      </c>
      <c r="E69" s="9">
        <f t="shared" si="9"/>
        <v>2240</v>
      </c>
      <c r="F69" s="9">
        <f t="shared" si="10"/>
        <v>7616</v>
      </c>
      <c r="G69" s="1"/>
      <c r="H69" s="11">
        <v>6990</v>
      </c>
      <c r="I69" s="11">
        <v>7290</v>
      </c>
      <c r="J69" s="11">
        <f t="shared" si="11"/>
        <v>-626</v>
      </c>
    </row>
    <row r="70" spans="2:10" ht="15" thickBot="1" x14ac:dyDescent="0.35">
      <c r="B70" s="8" t="s">
        <v>52</v>
      </c>
      <c r="C70" s="9">
        <v>4622</v>
      </c>
      <c r="D70" s="9">
        <f>C70/(1-E64)</f>
        <v>7110.7692307692305</v>
      </c>
      <c r="E70" s="9">
        <f t="shared" si="9"/>
        <v>2488.7692307692305</v>
      </c>
      <c r="F70" s="9">
        <f t="shared" si="10"/>
        <v>8461.8153846153837</v>
      </c>
      <c r="G70" s="1"/>
      <c r="H70" s="11">
        <v>7890</v>
      </c>
      <c r="I70" s="11">
        <v>8190</v>
      </c>
      <c r="J70" s="11">
        <f t="shared" si="11"/>
        <v>-571.81538461538366</v>
      </c>
    </row>
    <row r="71" spans="2:10" ht="15" thickBot="1" x14ac:dyDescent="0.35">
      <c r="B71" s="8" t="s">
        <v>47</v>
      </c>
      <c r="C71" s="9">
        <v>1850</v>
      </c>
      <c r="D71" s="9">
        <f>C71/(1-E64)</f>
        <v>2846.1538461538462</v>
      </c>
      <c r="E71" s="9">
        <f t="shared" si="9"/>
        <v>996.15384615384619</v>
      </c>
      <c r="F71" s="9">
        <f t="shared" si="10"/>
        <v>3386.9230769230771</v>
      </c>
      <c r="G71" s="1"/>
      <c r="H71" s="11">
        <v>3190</v>
      </c>
      <c r="I71" s="11">
        <v>3390</v>
      </c>
      <c r="J71" s="11">
        <f t="shared" si="11"/>
        <v>-196.92307692307713</v>
      </c>
    </row>
    <row r="72" spans="2:10" ht="15" thickBot="1" x14ac:dyDescent="0.35">
      <c r="B72" s="8" t="s">
        <v>48</v>
      </c>
      <c r="C72" s="9">
        <v>2450</v>
      </c>
      <c r="D72" s="9">
        <f>C72/(1-E64)</f>
        <v>3769.2307692307691</v>
      </c>
      <c r="E72" s="9">
        <f t="shared" si="9"/>
        <v>1319.2307692307691</v>
      </c>
      <c r="F72" s="9">
        <f t="shared" si="10"/>
        <v>4485.3846153846152</v>
      </c>
      <c r="G72" s="1"/>
      <c r="H72" s="11">
        <v>3990</v>
      </c>
      <c r="I72" s="11">
        <v>4200</v>
      </c>
      <c r="J72" s="11">
        <f t="shared" si="11"/>
        <v>-495.38461538461524</v>
      </c>
    </row>
    <row r="73" spans="2:10" ht="15" thickBot="1" x14ac:dyDescent="0.35">
      <c r="B73" s="8" t="s">
        <v>58</v>
      </c>
      <c r="C73" s="9">
        <v>2184</v>
      </c>
      <c r="D73" s="9">
        <f>C73/(1-E64)</f>
        <v>3360</v>
      </c>
      <c r="E73" s="9">
        <f t="shared" si="9"/>
        <v>1176</v>
      </c>
      <c r="F73" s="9">
        <f t="shared" si="10"/>
        <v>3998.4</v>
      </c>
      <c r="G73" s="1"/>
      <c r="H73" s="11"/>
      <c r="I73" s="11">
        <v>3990</v>
      </c>
      <c r="J73" s="11">
        <f t="shared" si="11"/>
        <v>-3998.4</v>
      </c>
    </row>
  </sheetData>
  <mergeCells count="5">
    <mergeCell ref="E4:F4"/>
    <mergeCell ref="E23:F23"/>
    <mergeCell ref="E37:F37"/>
    <mergeCell ref="E46:F46"/>
    <mergeCell ref="E63:F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16" workbookViewId="0">
      <selection activeCell="F35" sqref="F35"/>
    </sheetView>
  </sheetViews>
  <sheetFormatPr baseColWidth="10" defaultRowHeight="14.4" x14ac:dyDescent="0.3"/>
  <cols>
    <col min="1" max="1" width="28.5546875" customWidth="1"/>
    <col min="2" max="2" width="11.5546875" customWidth="1"/>
    <col min="3" max="3" width="13.21875" customWidth="1"/>
    <col min="4" max="4" width="11.5546875" customWidth="1"/>
    <col min="5" max="5" width="14.44140625" customWidth="1"/>
    <col min="6" max="6" width="15.88671875" customWidth="1"/>
    <col min="7" max="7" width="11.5546875" customWidth="1"/>
    <col min="8" max="8" width="4.44140625" customWidth="1"/>
    <col min="9" max="9" width="25.88671875" customWidth="1"/>
    <col min="10" max="11" width="11.5546875" customWidth="1"/>
    <col min="12" max="12" width="12.109375" customWidth="1"/>
    <col min="13" max="13" width="11.5546875" customWidth="1"/>
    <col min="14" max="14" width="0.6640625" customWidth="1"/>
    <col min="15" max="15" width="17.88671875" customWidth="1"/>
  </cols>
  <sheetData>
    <row r="1" spans="1:15" ht="15" thickBot="1" x14ac:dyDescent="0.35">
      <c r="A1" s="16" t="s">
        <v>54</v>
      </c>
      <c r="B1" s="1"/>
      <c r="C1" s="1"/>
      <c r="F1" s="1"/>
      <c r="G1" s="1"/>
      <c r="H1" s="1"/>
    </row>
    <row r="2" spans="1:15" ht="15" thickBot="1" x14ac:dyDescent="0.35">
      <c r="A2" s="16"/>
      <c r="B2" s="1"/>
      <c r="C2" s="1"/>
      <c r="D2" s="28">
        <v>0.4</v>
      </c>
      <c r="E2" s="30" t="s">
        <v>60</v>
      </c>
      <c r="F2" s="1"/>
      <c r="G2" s="1"/>
      <c r="H2" s="1"/>
      <c r="K2" s="28">
        <v>0.4</v>
      </c>
      <c r="L2" s="30" t="s">
        <v>60</v>
      </c>
    </row>
    <row r="3" spans="1:15" ht="46.8" customHeight="1" thickBot="1" x14ac:dyDescent="0.35">
      <c r="A3" s="22" t="s">
        <v>1</v>
      </c>
      <c r="B3" s="4" t="s">
        <v>2</v>
      </c>
      <c r="C3" s="5" t="s">
        <v>3</v>
      </c>
      <c r="D3" s="4" t="s">
        <v>4</v>
      </c>
      <c r="E3" s="6" t="s">
        <v>5</v>
      </c>
      <c r="F3" s="31" t="s">
        <v>46</v>
      </c>
      <c r="G3" s="17"/>
      <c r="H3" s="25"/>
      <c r="I3" s="22" t="s">
        <v>53</v>
      </c>
      <c r="J3" s="4" t="s">
        <v>2</v>
      </c>
      <c r="K3" s="5" t="s">
        <v>3</v>
      </c>
      <c r="L3" s="4" t="s">
        <v>4</v>
      </c>
      <c r="M3" s="6" t="s">
        <v>5</v>
      </c>
      <c r="N3" s="7" t="s">
        <v>6</v>
      </c>
      <c r="O3" s="26" t="s">
        <v>46</v>
      </c>
    </row>
    <row r="4" spans="1:15" x14ac:dyDescent="0.3">
      <c r="A4" s="20" t="s">
        <v>8</v>
      </c>
      <c r="B4" s="10">
        <v>1556</v>
      </c>
      <c r="C4" s="10">
        <f>B4/(1-D2)</f>
        <v>2593.3333333333335</v>
      </c>
      <c r="D4" s="10">
        <f>C4-B4</f>
        <v>1037.3333333333335</v>
      </c>
      <c r="E4" s="10">
        <f>C4*19%+C4</f>
        <v>3086.0666666666666</v>
      </c>
      <c r="F4" s="38">
        <v>2990</v>
      </c>
      <c r="G4" s="11">
        <f t="shared" ref="G4:G16" si="0">F4-E4</f>
        <v>-96.066666666666606</v>
      </c>
      <c r="H4" s="24"/>
      <c r="I4" s="20" t="s">
        <v>36</v>
      </c>
      <c r="J4" s="10">
        <v>4830</v>
      </c>
      <c r="K4" s="10">
        <f>J4/(1-K2)</f>
        <v>8050</v>
      </c>
      <c r="L4" s="10">
        <f>K4-J4</f>
        <v>3220</v>
      </c>
      <c r="M4" s="10">
        <f>K4*24%+K4</f>
        <v>9982</v>
      </c>
      <c r="N4" s="10">
        <v>6990</v>
      </c>
      <c r="O4" s="33">
        <v>7890</v>
      </c>
    </row>
    <row r="5" spans="1:15" x14ac:dyDescent="0.3">
      <c r="A5" s="17" t="s">
        <v>9</v>
      </c>
      <c r="B5" s="11">
        <v>1406</v>
      </c>
      <c r="C5" s="10">
        <f>B5/(1-D2)</f>
        <v>2343.3333333333335</v>
      </c>
      <c r="D5" s="11">
        <f t="shared" ref="D5:D16" si="1">C5-B5</f>
        <v>937.33333333333348</v>
      </c>
      <c r="E5" s="11">
        <f t="shared" ref="E5:E16" si="2">C5*19%+C5</f>
        <v>2788.5666666666666</v>
      </c>
      <c r="F5" s="32">
        <v>2790</v>
      </c>
      <c r="G5" s="11">
        <f t="shared" si="0"/>
        <v>1.433333333333394</v>
      </c>
      <c r="H5" s="24"/>
      <c r="I5" s="17" t="s">
        <v>37</v>
      </c>
      <c r="J5" s="11">
        <v>2000</v>
      </c>
      <c r="K5" s="11">
        <f>J5/(1-K2)</f>
        <v>3333.3333333333335</v>
      </c>
      <c r="L5" s="11">
        <f t="shared" ref="L5:L13" si="3">K5-J5</f>
        <v>1333.3333333333335</v>
      </c>
      <c r="M5" s="11">
        <f t="shared" ref="M5:M13" si="4">K5*24%+K5</f>
        <v>4133.3333333333339</v>
      </c>
      <c r="N5" s="11">
        <v>3570</v>
      </c>
      <c r="O5" s="34">
        <v>3890</v>
      </c>
    </row>
    <row r="6" spans="1:15" x14ac:dyDescent="0.3">
      <c r="A6" s="17" t="s">
        <v>10</v>
      </c>
      <c r="B6" s="11">
        <v>1205</v>
      </c>
      <c r="C6" s="10">
        <f>B6/(1-D2)</f>
        <v>2008.3333333333335</v>
      </c>
      <c r="D6" s="11">
        <f t="shared" si="1"/>
        <v>803.33333333333348</v>
      </c>
      <c r="E6" s="11">
        <f>C6*19%+C6</f>
        <v>2389.916666666667</v>
      </c>
      <c r="F6" s="32">
        <v>2590</v>
      </c>
      <c r="G6" s="11">
        <f t="shared" si="0"/>
        <v>200.08333333333303</v>
      </c>
      <c r="H6" s="24"/>
      <c r="I6" s="17" t="s">
        <v>38</v>
      </c>
      <c r="J6" s="11">
        <v>800</v>
      </c>
      <c r="K6" s="11">
        <f>J6/(1-K2)</f>
        <v>1333.3333333333335</v>
      </c>
      <c r="L6" s="11">
        <f t="shared" si="3"/>
        <v>533.33333333333348</v>
      </c>
      <c r="M6" s="11">
        <f t="shared" si="4"/>
        <v>1653.3333333333335</v>
      </c>
      <c r="N6" s="11">
        <v>1590</v>
      </c>
      <c r="O6" s="34">
        <v>1590</v>
      </c>
    </row>
    <row r="7" spans="1:15" x14ac:dyDescent="0.3">
      <c r="A7" s="17" t="s">
        <v>11</v>
      </c>
      <c r="B7" s="11">
        <v>1506</v>
      </c>
      <c r="C7" s="10">
        <f>B7/(1-D2)</f>
        <v>2510</v>
      </c>
      <c r="D7" s="11">
        <f t="shared" si="1"/>
        <v>1004</v>
      </c>
      <c r="E7" s="11">
        <f t="shared" si="2"/>
        <v>2986.9</v>
      </c>
      <c r="F7" s="32">
        <v>2990</v>
      </c>
      <c r="G7" s="11">
        <f t="shared" si="0"/>
        <v>3.0999999999999091</v>
      </c>
      <c r="H7" s="24"/>
      <c r="I7" s="17" t="s">
        <v>32</v>
      </c>
      <c r="J7" s="11">
        <v>4800</v>
      </c>
      <c r="K7" s="11">
        <f>J7/(1-K2)</f>
        <v>8000</v>
      </c>
      <c r="L7" s="11">
        <f t="shared" si="3"/>
        <v>3200</v>
      </c>
      <c r="M7" s="11">
        <f t="shared" si="4"/>
        <v>9920</v>
      </c>
      <c r="N7" s="11">
        <v>8490</v>
      </c>
      <c r="O7" s="34">
        <v>8890</v>
      </c>
    </row>
    <row r="8" spans="1:15" x14ac:dyDescent="0.3">
      <c r="A8" s="17" t="s">
        <v>12</v>
      </c>
      <c r="B8" s="11">
        <v>2508</v>
      </c>
      <c r="C8" s="10">
        <f>B8/(1-D2)</f>
        <v>4180</v>
      </c>
      <c r="D8" s="11">
        <f t="shared" si="1"/>
        <v>1672</v>
      </c>
      <c r="E8" s="11">
        <f t="shared" si="2"/>
        <v>4974.2</v>
      </c>
      <c r="F8" s="32">
        <v>4580</v>
      </c>
      <c r="G8" s="11">
        <f t="shared" si="0"/>
        <v>-394.19999999999982</v>
      </c>
      <c r="H8" s="24"/>
      <c r="I8" s="17" t="s">
        <v>39</v>
      </c>
      <c r="J8" s="11">
        <v>8750</v>
      </c>
      <c r="K8" s="11">
        <f>J8/(1-K2)</f>
        <v>14583.333333333334</v>
      </c>
      <c r="L8" s="11">
        <f t="shared" si="3"/>
        <v>5833.3333333333339</v>
      </c>
      <c r="M8" s="11">
        <f t="shared" si="4"/>
        <v>18083.333333333336</v>
      </c>
      <c r="N8" s="11">
        <v>15690</v>
      </c>
      <c r="O8" s="34">
        <v>15690</v>
      </c>
    </row>
    <row r="9" spans="1:15" x14ac:dyDescent="0.3">
      <c r="A9" s="17" t="s">
        <v>13</v>
      </c>
      <c r="B9" s="11">
        <v>1255</v>
      </c>
      <c r="C9" s="10">
        <f>B9/(1-D2)</f>
        <v>2091.666666666667</v>
      </c>
      <c r="D9" s="11">
        <f t="shared" si="1"/>
        <v>836.66666666666697</v>
      </c>
      <c r="E9" s="11">
        <f t="shared" si="2"/>
        <v>2489.0833333333339</v>
      </c>
      <c r="F9" s="32">
        <v>2890</v>
      </c>
      <c r="G9" s="11">
        <f t="shared" si="0"/>
        <v>400.91666666666606</v>
      </c>
      <c r="H9" s="24"/>
      <c r="I9" s="17" t="s">
        <v>40</v>
      </c>
      <c r="J9" s="11">
        <v>6365</v>
      </c>
      <c r="K9" s="11">
        <f>J9/(1-K2)</f>
        <v>10608.333333333334</v>
      </c>
      <c r="L9" s="11">
        <f t="shared" si="3"/>
        <v>4243.3333333333339</v>
      </c>
      <c r="M9" s="11">
        <f t="shared" si="4"/>
        <v>13154.333333333334</v>
      </c>
      <c r="N9" s="11">
        <v>10990</v>
      </c>
      <c r="O9" s="34">
        <v>10990</v>
      </c>
    </row>
    <row r="10" spans="1:15" x14ac:dyDescent="0.3">
      <c r="A10" s="17" t="s">
        <v>14</v>
      </c>
      <c r="B10" s="11">
        <v>2356</v>
      </c>
      <c r="C10" s="10">
        <f>B10/(1-D2)</f>
        <v>3926.666666666667</v>
      </c>
      <c r="D10" s="11">
        <f t="shared" si="1"/>
        <v>1570.666666666667</v>
      </c>
      <c r="E10" s="11">
        <f t="shared" si="2"/>
        <v>4672.7333333333336</v>
      </c>
      <c r="F10" s="37">
        <v>4590</v>
      </c>
      <c r="G10" s="11">
        <f t="shared" si="0"/>
        <v>-82.733333333333576</v>
      </c>
      <c r="H10" s="24"/>
      <c r="I10" s="17" t="s">
        <v>41</v>
      </c>
      <c r="J10" s="11">
        <v>5240</v>
      </c>
      <c r="K10" s="11">
        <f>J10/(1-K2)</f>
        <v>8733.3333333333339</v>
      </c>
      <c r="L10" s="11">
        <f t="shared" si="3"/>
        <v>3493.3333333333339</v>
      </c>
      <c r="M10" s="11">
        <f t="shared" si="4"/>
        <v>10829.333333333334</v>
      </c>
      <c r="N10" s="11">
        <v>9990</v>
      </c>
      <c r="O10" s="34">
        <v>9990</v>
      </c>
    </row>
    <row r="11" spans="1:15" x14ac:dyDescent="0.3">
      <c r="A11" s="17" t="s">
        <v>15</v>
      </c>
      <c r="B11" s="11">
        <v>2807</v>
      </c>
      <c r="C11" s="10">
        <f>B11/(1-D2)</f>
        <v>4678.3333333333339</v>
      </c>
      <c r="D11" s="11">
        <f t="shared" si="1"/>
        <v>1871.3333333333339</v>
      </c>
      <c r="E11" s="11">
        <f t="shared" si="2"/>
        <v>5567.2166666666672</v>
      </c>
      <c r="F11" s="37">
        <v>5390</v>
      </c>
      <c r="G11" s="11">
        <f t="shared" si="0"/>
        <v>-177.21666666666715</v>
      </c>
      <c r="H11" s="24"/>
      <c r="I11" s="17" t="s">
        <v>42</v>
      </c>
      <c r="J11" s="11">
        <v>4550</v>
      </c>
      <c r="K11" s="11">
        <f>J11/(1-K2)</f>
        <v>7583.3333333333339</v>
      </c>
      <c r="L11" s="11">
        <f t="shared" si="3"/>
        <v>3033.3333333333339</v>
      </c>
      <c r="M11" s="11">
        <f>K11*24%+K11</f>
        <v>9403.3333333333339</v>
      </c>
      <c r="N11" s="11">
        <v>7990</v>
      </c>
      <c r="O11" s="34">
        <v>8680</v>
      </c>
    </row>
    <row r="12" spans="1:15" x14ac:dyDescent="0.3">
      <c r="A12" s="17" t="s">
        <v>16</v>
      </c>
      <c r="B12" s="11">
        <v>1505</v>
      </c>
      <c r="C12" s="10">
        <f>B12/(1-D2)</f>
        <v>2508.3333333333335</v>
      </c>
      <c r="D12" s="11">
        <f t="shared" si="1"/>
        <v>1003.3333333333335</v>
      </c>
      <c r="E12" s="11">
        <f t="shared" si="2"/>
        <v>2984.916666666667</v>
      </c>
      <c r="F12" s="32">
        <v>2990</v>
      </c>
      <c r="G12" s="11">
        <f t="shared" si="0"/>
        <v>5.0833333333330302</v>
      </c>
      <c r="H12" s="24"/>
      <c r="I12" s="17" t="s">
        <v>43</v>
      </c>
      <c r="J12" s="11">
        <v>4830</v>
      </c>
      <c r="K12" s="11">
        <f>J12/(1-K2)</f>
        <v>8050</v>
      </c>
      <c r="L12" s="11">
        <f t="shared" si="3"/>
        <v>3220</v>
      </c>
      <c r="M12" s="11">
        <f t="shared" si="4"/>
        <v>9982</v>
      </c>
      <c r="N12" s="11">
        <v>8690</v>
      </c>
      <c r="O12" s="34">
        <v>8990</v>
      </c>
    </row>
    <row r="13" spans="1:15" x14ac:dyDescent="0.3">
      <c r="A13" s="17" t="s">
        <v>17</v>
      </c>
      <c r="B13" s="17">
        <v>1508</v>
      </c>
      <c r="C13" s="10">
        <f>B13/(1-D2)</f>
        <v>2513.3333333333335</v>
      </c>
      <c r="D13" s="11">
        <f t="shared" si="1"/>
        <v>1005.3333333333335</v>
      </c>
      <c r="E13" s="11">
        <f t="shared" si="2"/>
        <v>2990.8666666666668</v>
      </c>
      <c r="F13" s="32">
        <v>2790</v>
      </c>
      <c r="G13" s="11">
        <f t="shared" si="0"/>
        <v>-200.86666666666679</v>
      </c>
      <c r="H13" s="24"/>
      <c r="I13" s="27" t="s">
        <v>44</v>
      </c>
      <c r="J13" s="11">
        <v>4700</v>
      </c>
      <c r="K13" s="11">
        <f>J13/(1-K2)</f>
        <v>7833.3333333333339</v>
      </c>
      <c r="L13" s="11">
        <f t="shared" si="3"/>
        <v>3133.3333333333339</v>
      </c>
      <c r="M13" s="11">
        <f t="shared" si="4"/>
        <v>9713.3333333333339</v>
      </c>
      <c r="N13" s="11">
        <v>8490</v>
      </c>
      <c r="O13" s="34">
        <v>8990</v>
      </c>
    </row>
    <row r="14" spans="1:15" x14ac:dyDescent="0.3">
      <c r="A14" s="18" t="s">
        <v>18</v>
      </c>
      <c r="B14" s="19">
        <v>1209</v>
      </c>
      <c r="C14" s="10">
        <f>B14/(1-D2)</f>
        <v>2015</v>
      </c>
      <c r="D14" s="11">
        <f t="shared" si="1"/>
        <v>806</v>
      </c>
      <c r="E14" s="11">
        <f t="shared" si="2"/>
        <v>2397.85</v>
      </c>
      <c r="F14" s="37">
        <v>2390</v>
      </c>
      <c r="G14" s="11">
        <f t="shared" si="0"/>
        <v>-7.8499999999999091</v>
      </c>
      <c r="H14" s="24"/>
      <c r="I14" s="17" t="s">
        <v>55</v>
      </c>
      <c r="J14" s="11">
        <v>2521</v>
      </c>
      <c r="K14" s="11">
        <f>J14/(1-K2)</f>
        <v>4201.666666666667</v>
      </c>
      <c r="L14" s="11">
        <f>K14-J14</f>
        <v>1680.666666666667</v>
      </c>
      <c r="M14" s="11">
        <f>K14*19%+K14</f>
        <v>4999.9833333333336</v>
      </c>
      <c r="N14" s="11">
        <v>8490</v>
      </c>
      <c r="O14" s="36">
        <v>4990</v>
      </c>
    </row>
    <row r="15" spans="1:15" x14ac:dyDescent="0.3">
      <c r="A15" s="17" t="s">
        <v>19</v>
      </c>
      <c r="B15" s="17">
        <v>421</v>
      </c>
      <c r="C15" s="10">
        <f>B15/(1-D2)</f>
        <v>701.66666666666674</v>
      </c>
      <c r="D15" s="11">
        <f t="shared" si="1"/>
        <v>280.66666666666674</v>
      </c>
      <c r="E15" s="11">
        <f t="shared" si="2"/>
        <v>834.98333333333346</v>
      </c>
      <c r="F15" s="32">
        <v>1090</v>
      </c>
      <c r="G15" s="11">
        <f t="shared" si="0"/>
        <v>255.01666666666654</v>
      </c>
      <c r="H15" s="24"/>
      <c r="I15" s="17" t="s">
        <v>56</v>
      </c>
      <c r="J15" s="11">
        <v>2521</v>
      </c>
      <c r="K15" s="11">
        <f>J15/(1-K2)</f>
        <v>4201.666666666667</v>
      </c>
      <c r="L15" s="11">
        <f>K15-J15</f>
        <v>1680.666666666667</v>
      </c>
      <c r="M15" s="11">
        <f>K15*19%+K15</f>
        <v>4999.9833333333336</v>
      </c>
      <c r="N15" s="11">
        <v>8490</v>
      </c>
      <c r="O15" s="36">
        <v>4990</v>
      </c>
    </row>
    <row r="16" spans="1:15" x14ac:dyDescent="0.3">
      <c r="A16" s="18" t="s">
        <v>20</v>
      </c>
      <c r="B16" s="17">
        <v>1008</v>
      </c>
      <c r="C16" s="10">
        <f>B16/(1-D2)</f>
        <v>1680</v>
      </c>
      <c r="D16" s="11">
        <f t="shared" si="1"/>
        <v>672</v>
      </c>
      <c r="E16" s="11">
        <f t="shared" si="2"/>
        <v>1999.2</v>
      </c>
      <c r="F16" s="32">
        <v>1890</v>
      </c>
      <c r="G16" s="11">
        <f t="shared" si="0"/>
        <v>-109.20000000000005</v>
      </c>
      <c r="H16" s="24"/>
      <c r="I16" s="17" t="s">
        <v>57</v>
      </c>
      <c r="J16" s="11">
        <v>2100</v>
      </c>
      <c r="K16" s="11">
        <f>J16/(1-K2)</f>
        <v>3500</v>
      </c>
      <c r="L16" s="11">
        <f>K16-J16</f>
        <v>1400</v>
      </c>
      <c r="M16" s="11">
        <f>K16*19%+K16</f>
        <v>4165</v>
      </c>
      <c r="N16" s="11">
        <v>8490</v>
      </c>
      <c r="O16" s="36">
        <v>3990</v>
      </c>
    </row>
    <row r="17" spans="1:15" x14ac:dyDescent="0.3">
      <c r="A17" s="29"/>
      <c r="B17" s="25"/>
      <c r="C17" s="24"/>
      <c r="D17" s="24"/>
      <c r="E17" s="24"/>
      <c r="F17" s="39"/>
      <c r="G17" s="24"/>
      <c r="H17" s="24"/>
      <c r="I17" s="17" t="s">
        <v>64</v>
      </c>
      <c r="J17" s="11">
        <v>5530</v>
      </c>
      <c r="K17" s="11">
        <f>J17/(1-K2)</f>
        <v>9216.6666666666679</v>
      </c>
      <c r="L17" s="11">
        <f>K17-J17</f>
        <v>3686.6666666666679</v>
      </c>
      <c r="M17" s="11">
        <f>K17*19%+K17</f>
        <v>10967.833333333336</v>
      </c>
      <c r="N17" s="11">
        <v>8490</v>
      </c>
      <c r="O17" s="36">
        <v>10980</v>
      </c>
    </row>
    <row r="18" spans="1:15" ht="15" thickBot="1" x14ac:dyDescent="0.35">
      <c r="A18" s="29"/>
      <c r="B18" s="25"/>
      <c r="C18" s="24"/>
      <c r="D18" s="24"/>
      <c r="E18" s="24"/>
      <c r="F18" s="24"/>
      <c r="G18" s="24"/>
      <c r="H18" s="24"/>
      <c r="I18" s="25"/>
      <c r="O18" s="24"/>
    </row>
    <row r="19" spans="1:15" ht="15" thickBot="1" x14ac:dyDescent="0.35">
      <c r="D19" s="2">
        <v>0.4</v>
      </c>
      <c r="E19" s="30" t="s">
        <v>60</v>
      </c>
      <c r="K19" s="28">
        <v>0.4</v>
      </c>
      <c r="L19" s="30" t="s">
        <v>60</v>
      </c>
    </row>
    <row r="20" spans="1:15" ht="40.200000000000003" customHeight="1" thickBot="1" x14ac:dyDescent="0.35">
      <c r="A20" s="22" t="s">
        <v>21</v>
      </c>
      <c r="B20" s="4" t="s">
        <v>2</v>
      </c>
      <c r="C20" s="5" t="s">
        <v>3</v>
      </c>
      <c r="D20" s="4" t="s">
        <v>4</v>
      </c>
      <c r="E20" s="6" t="s">
        <v>5</v>
      </c>
      <c r="F20" s="26" t="s">
        <v>46</v>
      </c>
      <c r="G20" s="15"/>
      <c r="H20" s="25"/>
      <c r="I20" s="23" t="s">
        <v>45</v>
      </c>
      <c r="J20" s="4" t="s">
        <v>2</v>
      </c>
      <c r="K20" s="5" t="s">
        <v>3</v>
      </c>
      <c r="L20" s="4" t="s">
        <v>4</v>
      </c>
      <c r="M20" s="6" t="s">
        <v>5</v>
      </c>
      <c r="N20" s="7" t="s">
        <v>6</v>
      </c>
      <c r="O20" s="26" t="s">
        <v>46</v>
      </c>
    </row>
    <row r="21" spans="1:15" x14ac:dyDescent="0.3">
      <c r="A21" s="20" t="s">
        <v>22</v>
      </c>
      <c r="B21" s="10">
        <v>3136</v>
      </c>
      <c r="C21" s="10">
        <f>B21/(1-D19)</f>
        <v>5226.666666666667</v>
      </c>
      <c r="D21" s="10">
        <f>C21-B21</f>
        <v>2090.666666666667</v>
      </c>
      <c r="E21" s="10">
        <f>C21*24%+C21</f>
        <v>6481.0666666666675</v>
      </c>
      <c r="F21" s="33">
        <v>6450</v>
      </c>
      <c r="G21" s="11">
        <f t="shared" ref="G21:G29" si="5">F21-E21</f>
        <v>-31.066666666667516</v>
      </c>
      <c r="H21" s="24"/>
      <c r="I21" s="20" t="s">
        <v>49</v>
      </c>
      <c r="J21" s="10">
        <v>3782</v>
      </c>
      <c r="K21" s="10">
        <f>J21/(1-K19)</f>
        <v>6303.3333333333339</v>
      </c>
      <c r="L21" s="10">
        <f t="shared" ref="L21:L30" si="6">K21-J21</f>
        <v>2521.3333333333339</v>
      </c>
      <c r="M21" s="10">
        <f t="shared" ref="M21:M30" si="7">K21*19%+K21</f>
        <v>7500.9666666666672</v>
      </c>
      <c r="N21" s="10">
        <v>6450</v>
      </c>
      <c r="O21" s="33">
        <v>6790</v>
      </c>
    </row>
    <row r="22" spans="1:15" x14ac:dyDescent="0.3">
      <c r="A22" s="17" t="s">
        <v>23</v>
      </c>
      <c r="B22" s="11">
        <v>2194</v>
      </c>
      <c r="C22" s="11">
        <f>B22/(1-D19)</f>
        <v>3656.666666666667</v>
      </c>
      <c r="D22" s="11">
        <f t="shared" ref="D22:D29" si="8">C22-B22</f>
        <v>1462.666666666667</v>
      </c>
      <c r="E22" s="11">
        <f t="shared" ref="E22:E29" si="9">C22*24%+C22</f>
        <v>4534.2666666666673</v>
      </c>
      <c r="F22" s="34">
        <v>4490</v>
      </c>
      <c r="G22" s="11">
        <f t="shared" si="5"/>
        <v>-44.266666666667334</v>
      </c>
      <c r="H22" s="24"/>
      <c r="I22" s="17" t="s">
        <v>50</v>
      </c>
      <c r="J22" s="11">
        <v>4916</v>
      </c>
      <c r="K22" s="10">
        <f>J22/(1-K19)</f>
        <v>8193.3333333333339</v>
      </c>
      <c r="L22" s="11">
        <f t="shared" si="6"/>
        <v>3277.3333333333339</v>
      </c>
      <c r="M22" s="11">
        <f t="shared" si="7"/>
        <v>9750.0666666666675</v>
      </c>
      <c r="N22" s="11">
        <v>8590</v>
      </c>
      <c r="O22" s="34">
        <v>8890</v>
      </c>
    </row>
    <row r="23" spans="1:15" x14ac:dyDescent="0.3">
      <c r="A23" s="17" t="s">
        <v>24</v>
      </c>
      <c r="B23" s="11">
        <v>2688</v>
      </c>
      <c r="C23" s="11">
        <f>B23/(1-D19)</f>
        <v>4480</v>
      </c>
      <c r="D23" s="11">
        <f t="shared" si="8"/>
        <v>1792</v>
      </c>
      <c r="E23" s="11">
        <f t="shared" si="9"/>
        <v>5555.2</v>
      </c>
      <c r="F23" s="34">
        <v>5890</v>
      </c>
      <c r="G23" s="11">
        <f t="shared" si="5"/>
        <v>334.80000000000018</v>
      </c>
      <c r="H23" s="24"/>
      <c r="I23" s="17" t="s">
        <v>59</v>
      </c>
      <c r="J23" s="11">
        <v>2184</v>
      </c>
      <c r="K23" s="11">
        <f>J23/(1-K19)</f>
        <v>3640</v>
      </c>
      <c r="L23" s="11">
        <f t="shared" si="6"/>
        <v>1456</v>
      </c>
      <c r="M23" s="11">
        <f t="shared" si="7"/>
        <v>4331.6000000000004</v>
      </c>
      <c r="N23" s="11">
        <v>6990</v>
      </c>
      <c r="O23" s="34">
        <v>3990</v>
      </c>
    </row>
    <row r="24" spans="1:15" x14ac:dyDescent="0.3">
      <c r="A24" s="17" t="s">
        <v>25</v>
      </c>
      <c r="B24" s="11">
        <v>2797</v>
      </c>
      <c r="C24" s="11">
        <f>B24/(1-D19)</f>
        <v>4661.666666666667</v>
      </c>
      <c r="D24" s="11">
        <f t="shared" si="8"/>
        <v>1864.666666666667</v>
      </c>
      <c r="E24" s="11">
        <f t="shared" si="9"/>
        <v>5780.4666666666672</v>
      </c>
      <c r="F24" s="34">
        <v>5490</v>
      </c>
      <c r="G24" s="11">
        <f t="shared" si="5"/>
        <v>-290.46666666666715</v>
      </c>
      <c r="H24" s="24"/>
      <c r="I24" s="17" t="s">
        <v>51</v>
      </c>
      <c r="J24" s="11">
        <v>4160</v>
      </c>
      <c r="K24" s="11">
        <f>J24/(1-K19)</f>
        <v>6933.3333333333339</v>
      </c>
      <c r="L24" s="11">
        <f t="shared" si="6"/>
        <v>2773.3333333333339</v>
      </c>
      <c r="M24" s="11">
        <f t="shared" si="7"/>
        <v>8250.6666666666679</v>
      </c>
      <c r="N24" s="11">
        <v>6990</v>
      </c>
      <c r="O24" s="34">
        <v>7290</v>
      </c>
    </row>
    <row r="25" spans="1:15" x14ac:dyDescent="0.3">
      <c r="A25" s="17" t="s">
        <v>26</v>
      </c>
      <c r="B25" s="11">
        <v>1396</v>
      </c>
      <c r="C25" s="11">
        <f>B25/(1-D19)</f>
        <v>2326.666666666667</v>
      </c>
      <c r="D25" s="11">
        <f t="shared" si="8"/>
        <v>930.66666666666697</v>
      </c>
      <c r="E25" s="11">
        <f t="shared" si="9"/>
        <v>2885.0666666666671</v>
      </c>
      <c r="F25" s="34">
        <v>2990</v>
      </c>
      <c r="G25" s="11">
        <f t="shared" si="5"/>
        <v>104.93333333333294</v>
      </c>
      <c r="H25" s="24"/>
      <c r="I25" s="17" t="s">
        <v>52</v>
      </c>
      <c r="J25" s="11">
        <v>4622</v>
      </c>
      <c r="K25" s="11">
        <f>J25/(1-K19)</f>
        <v>7703.3333333333339</v>
      </c>
      <c r="L25" s="11">
        <f t="shared" si="6"/>
        <v>3081.3333333333339</v>
      </c>
      <c r="M25" s="11">
        <f t="shared" si="7"/>
        <v>9166.9666666666672</v>
      </c>
      <c r="N25" s="11">
        <v>7890</v>
      </c>
      <c r="O25" s="34">
        <v>8190</v>
      </c>
    </row>
    <row r="26" spans="1:15" x14ac:dyDescent="0.3">
      <c r="A26" s="17" t="s">
        <v>27</v>
      </c>
      <c r="B26" s="11">
        <v>2844</v>
      </c>
      <c r="C26" s="11">
        <f>B26/(1-D19)</f>
        <v>4740</v>
      </c>
      <c r="D26" s="11">
        <f t="shared" si="8"/>
        <v>1896</v>
      </c>
      <c r="E26" s="11">
        <f t="shared" si="9"/>
        <v>5877.6</v>
      </c>
      <c r="F26" s="34">
        <v>5630</v>
      </c>
      <c r="G26" s="11">
        <f t="shared" si="5"/>
        <v>-247.60000000000036</v>
      </c>
      <c r="H26" s="24"/>
      <c r="I26" s="17" t="s">
        <v>47</v>
      </c>
      <c r="J26" s="11">
        <v>1850</v>
      </c>
      <c r="K26" s="11">
        <f>J26/(1-K19)</f>
        <v>3083.3333333333335</v>
      </c>
      <c r="L26" s="11">
        <f t="shared" si="6"/>
        <v>1233.3333333333335</v>
      </c>
      <c r="M26" s="11">
        <f t="shared" si="7"/>
        <v>3669.166666666667</v>
      </c>
      <c r="N26" s="11">
        <v>3190</v>
      </c>
      <c r="O26" s="34">
        <v>3390</v>
      </c>
    </row>
    <row r="27" spans="1:15" x14ac:dyDescent="0.3">
      <c r="A27" s="17" t="s">
        <v>28</v>
      </c>
      <c r="B27" s="11">
        <v>2692</v>
      </c>
      <c r="C27" s="11">
        <f>B27/(1-D19)</f>
        <v>4486.666666666667</v>
      </c>
      <c r="D27" s="11">
        <f t="shared" si="8"/>
        <v>1794.666666666667</v>
      </c>
      <c r="E27" s="11">
        <f t="shared" si="9"/>
        <v>5563.4666666666672</v>
      </c>
      <c r="F27" s="34">
        <v>5690</v>
      </c>
      <c r="G27" s="11">
        <f t="shared" si="5"/>
        <v>126.53333333333285</v>
      </c>
      <c r="H27" s="24"/>
      <c r="I27" s="17" t="s">
        <v>48</v>
      </c>
      <c r="J27" s="11">
        <v>2450</v>
      </c>
      <c r="K27" s="11">
        <f>J27/(1-K19)</f>
        <v>4083.3333333333335</v>
      </c>
      <c r="L27" s="11">
        <f t="shared" si="6"/>
        <v>1633.3333333333335</v>
      </c>
      <c r="M27" s="11">
        <f t="shared" si="7"/>
        <v>4859.166666666667</v>
      </c>
      <c r="N27" s="11">
        <v>3990</v>
      </c>
      <c r="O27" s="34">
        <v>4200</v>
      </c>
    </row>
    <row r="28" spans="1:15" x14ac:dyDescent="0.3">
      <c r="A28" s="17" t="s">
        <v>29</v>
      </c>
      <c r="B28" s="11">
        <v>1175</v>
      </c>
      <c r="C28" s="11">
        <f>B28/(1-D19)</f>
        <v>1958.3333333333335</v>
      </c>
      <c r="D28" s="11">
        <f t="shared" si="8"/>
        <v>783.33333333333348</v>
      </c>
      <c r="E28" s="11">
        <f t="shared" si="9"/>
        <v>2428.3333333333335</v>
      </c>
      <c r="F28" s="34">
        <v>2390</v>
      </c>
      <c r="G28" s="11">
        <f t="shared" si="5"/>
        <v>-38.333333333333485</v>
      </c>
      <c r="H28" s="24"/>
      <c r="I28" s="17" t="s">
        <v>61</v>
      </c>
      <c r="J28" s="11">
        <v>3350</v>
      </c>
      <c r="K28" s="11">
        <f>J28/(1-K19)</f>
        <v>5583.3333333333339</v>
      </c>
      <c r="L28" s="11">
        <f t="shared" si="6"/>
        <v>2233.3333333333339</v>
      </c>
      <c r="M28" s="11">
        <f t="shared" si="7"/>
        <v>6644.1666666666679</v>
      </c>
      <c r="N28" s="11">
        <v>3990</v>
      </c>
      <c r="O28" s="34">
        <v>6350</v>
      </c>
    </row>
    <row r="29" spans="1:15" x14ac:dyDescent="0.3">
      <c r="A29" s="17" t="s">
        <v>30</v>
      </c>
      <c r="B29" s="11">
        <v>1525</v>
      </c>
      <c r="C29" s="11">
        <f>B29/(1-D19)</f>
        <v>2541.666666666667</v>
      </c>
      <c r="D29" s="11">
        <f t="shared" si="8"/>
        <v>1016.666666666667</v>
      </c>
      <c r="E29" s="11">
        <f t="shared" si="9"/>
        <v>3151.666666666667</v>
      </c>
      <c r="F29" s="34">
        <v>3150</v>
      </c>
      <c r="G29" s="11">
        <f t="shared" si="5"/>
        <v>-1.6666666666669698</v>
      </c>
      <c r="H29" s="24"/>
      <c r="I29" s="17" t="s">
        <v>62</v>
      </c>
      <c r="J29" s="11">
        <v>4200</v>
      </c>
      <c r="K29" s="11">
        <f>J29/(1-K19)</f>
        <v>7000</v>
      </c>
      <c r="L29" s="11">
        <f t="shared" si="6"/>
        <v>2800</v>
      </c>
      <c r="M29" s="11">
        <f t="shared" si="7"/>
        <v>8330</v>
      </c>
      <c r="N29" s="11">
        <v>3990</v>
      </c>
      <c r="O29" s="34">
        <v>8490</v>
      </c>
    </row>
    <row r="30" spans="1:15" ht="15" thickBot="1" x14ac:dyDescent="0.35">
      <c r="A30" s="25"/>
      <c r="B30" s="24"/>
      <c r="C30" s="24"/>
      <c r="D30" s="24"/>
      <c r="E30" s="24"/>
      <c r="F30" s="24"/>
      <c r="G30" s="24"/>
      <c r="H30" s="24"/>
      <c r="I30" s="17" t="s">
        <v>63</v>
      </c>
      <c r="J30" s="11">
        <v>3782</v>
      </c>
      <c r="K30" s="11">
        <f>J30/(1-K19)</f>
        <v>6303.3333333333339</v>
      </c>
      <c r="L30" s="11">
        <f t="shared" si="6"/>
        <v>2521.3333333333339</v>
      </c>
      <c r="M30" s="11">
        <f t="shared" si="7"/>
        <v>7500.9666666666672</v>
      </c>
      <c r="N30" s="11">
        <v>3990</v>
      </c>
      <c r="O30" s="34">
        <v>6890</v>
      </c>
    </row>
    <row r="31" spans="1:15" ht="15" thickBot="1" x14ac:dyDescent="0.35">
      <c r="D31" s="21">
        <v>0.4</v>
      </c>
      <c r="E31" s="30" t="s">
        <v>60</v>
      </c>
    </row>
    <row r="32" spans="1:15" ht="28.2" thickBot="1" x14ac:dyDescent="0.35">
      <c r="A32" s="22" t="s">
        <v>31</v>
      </c>
      <c r="B32" s="4" t="s">
        <v>2</v>
      </c>
      <c r="C32" s="5" t="s">
        <v>3</v>
      </c>
      <c r="D32" s="4" t="s">
        <v>4</v>
      </c>
      <c r="E32" s="6" t="s">
        <v>5</v>
      </c>
      <c r="F32" s="26" t="s">
        <v>46</v>
      </c>
      <c r="G32" s="15"/>
      <c r="H32" s="25"/>
    </row>
    <row r="33" spans="1:8" x14ac:dyDescent="0.3">
      <c r="A33" s="20" t="s">
        <v>32</v>
      </c>
      <c r="B33" s="10">
        <v>1126</v>
      </c>
      <c r="C33" s="10">
        <f>B33/(1-D31)</f>
        <v>1876.6666666666667</v>
      </c>
      <c r="D33" s="10">
        <f>C33-B33</f>
        <v>750.66666666666674</v>
      </c>
      <c r="E33" s="10">
        <f>C33*19%+C33</f>
        <v>2233.2333333333336</v>
      </c>
      <c r="F33" s="35">
        <v>3490</v>
      </c>
      <c r="G33" s="11">
        <f>F33-E33</f>
        <v>1256.7666666666664</v>
      </c>
      <c r="H33" s="24"/>
    </row>
    <row r="34" spans="1:8" x14ac:dyDescent="0.3">
      <c r="A34" s="17" t="s">
        <v>33</v>
      </c>
      <c r="B34" s="11">
        <v>3072</v>
      </c>
      <c r="C34" s="11">
        <f>B34/(1-D31)</f>
        <v>5120</v>
      </c>
      <c r="D34" s="11">
        <f>C34-B34</f>
        <v>2048</v>
      </c>
      <c r="E34" s="11">
        <f>C34*19%+C34</f>
        <v>6092.8</v>
      </c>
      <c r="F34" s="34">
        <v>4990</v>
      </c>
      <c r="G34" s="11">
        <f>F34-E34</f>
        <v>-1102.8000000000002</v>
      </c>
      <c r="H34" s="24"/>
    </row>
    <row r="35" spans="1:8" x14ac:dyDescent="0.3">
      <c r="A35" s="17" t="s">
        <v>34</v>
      </c>
      <c r="B35" s="11">
        <v>2076</v>
      </c>
      <c r="C35" s="11">
        <f>B35/(1-D31)</f>
        <v>3460</v>
      </c>
      <c r="D35" s="11">
        <f>C35-B35</f>
        <v>1384</v>
      </c>
      <c r="E35" s="11">
        <f>C35*19%+C35</f>
        <v>4117.3999999999996</v>
      </c>
      <c r="F35" s="34">
        <v>3390</v>
      </c>
      <c r="G35" s="11">
        <f>F35-E35</f>
        <v>-727.39999999999964</v>
      </c>
      <c r="H35" s="24"/>
    </row>
    <row r="36" spans="1:8" x14ac:dyDescent="0.3">
      <c r="A36" s="17" t="s">
        <v>35</v>
      </c>
      <c r="B36" s="11">
        <v>1855</v>
      </c>
      <c r="C36" s="11">
        <f>B36/(1-D31)</f>
        <v>3091.666666666667</v>
      </c>
      <c r="D36" s="11">
        <f>C36-B36</f>
        <v>1236.666666666667</v>
      </c>
      <c r="E36" s="11">
        <f>C36*19%+C36</f>
        <v>3679.0833333333339</v>
      </c>
      <c r="F36" s="36">
        <v>2890</v>
      </c>
      <c r="G36" s="11">
        <f>F36-E36</f>
        <v>-789.08333333333394</v>
      </c>
      <c r="H36" s="24"/>
    </row>
  </sheetData>
  <pageMargins left="0.11811023622047245" right="0.11811023622047245" top="0.74803149606299213" bottom="0.74803149606299213" header="0.31496062992125984" footer="0.31496062992125984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K27"/>
  <sheetViews>
    <sheetView workbookViewId="0">
      <selection activeCell="J27" sqref="J27"/>
    </sheetView>
  </sheetViews>
  <sheetFormatPr baseColWidth="10" defaultRowHeight="14.4" x14ac:dyDescent="0.3"/>
  <cols>
    <col min="1" max="1" width="4.6640625" customWidth="1"/>
    <col min="2" max="2" width="27.33203125" customWidth="1"/>
    <col min="3" max="3" width="9" customWidth="1"/>
    <col min="4" max="4" width="9.33203125" customWidth="1"/>
  </cols>
  <sheetData>
    <row r="3" spans="1:11" ht="16.2" thickBot="1" x14ac:dyDescent="0.35">
      <c r="A3" s="73" t="s">
        <v>132</v>
      </c>
    </row>
    <row r="4" spans="1:11" ht="15" thickBot="1" x14ac:dyDescent="0.35">
      <c r="C4" s="89" t="s">
        <v>133</v>
      </c>
      <c r="D4" s="90"/>
      <c r="E4" s="90"/>
      <c r="F4" s="90"/>
      <c r="G4" s="91"/>
    </row>
    <row r="5" spans="1:11" ht="15" thickBot="1" x14ac:dyDescent="0.35">
      <c r="C5" s="74" t="s">
        <v>134</v>
      </c>
      <c r="D5" s="75" t="s">
        <v>135</v>
      </c>
      <c r="E5" s="75" t="s">
        <v>136</v>
      </c>
      <c r="F5" s="76" t="s">
        <v>137</v>
      </c>
      <c r="G5" s="76" t="s">
        <v>138</v>
      </c>
    </row>
    <row r="6" spans="1:11" x14ac:dyDescent="0.3">
      <c r="A6" s="77" t="s">
        <v>126</v>
      </c>
      <c r="B6" s="77" t="s">
        <v>139</v>
      </c>
      <c r="C6" s="78"/>
      <c r="D6" s="79"/>
      <c r="E6" s="78" t="s">
        <v>129</v>
      </c>
      <c r="F6" s="78" t="s">
        <v>129</v>
      </c>
      <c r="G6" s="78" t="s">
        <v>129</v>
      </c>
    </row>
    <row r="7" spans="1:11" x14ac:dyDescent="0.3">
      <c r="A7" s="43">
        <v>1</v>
      </c>
      <c r="B7" s="43" t="s">
        <v>140</v>
      </c>
      <c r="C7" s="71"/>
      <c r="D7" s="71"/>
      <c r="E7" s="71">
        <v>1655000</v>
      </c>
      <c r="F7" s="71">
        <f>E7/30</f>
        <v>55166.666666666664</v>
      </c>
      <c r="G7" s="71">
        <f>F7/8</f>
        <v>6895.833333333333</v>
      </c>
      <c r="H7" s="71">
        <f>G7/44</f>
        <v>156.72348484848484</v>
      </c>
    </row>
    <row r="8" spans="1:11" x14ac:dyDescent="0.3">
      <c r="A8" s="43">
        <v>2</v>
      </c>
      <c r="B8" s="43" t="s">
        <v>141</v>
      </c>
      <c r="C8" s="71"/>
      <c r="D8" s="71"/>
      <c r="E8" s="71">
        <v>230000</v>
      </c>
      <c r="F8" s="71">
        <f t="shared" ref="F8:F26" si="0">E8/30</f>
        <v>7666.666666666667</v>
      </c>
      <c r="G8" s="71">
        <f t="shared" ref="G8:G26" si="1">F8/8</f>
        <v>958.33333333333337</v>
      </c>
      <c r="H8" s="71">
        <f t="shared" ref="H8:H26" si="2">G8/44</f>
        <v>21.780303030303031</v>
      </c>
    </row>
    <row r="9" spans="1:11" x14ac:dyDescent="0.3">
      <c r="A9" s="43">
        <v>3</v>
      </c>
      <c r="B9" s="43" t="s">
        <v>142</v>
      </c>
      <c r="C9" s="71"/>
      <c r="D9" s="71"/>
      <c r="E9" s="71">
        <v>16000</v>
      </c>
      <c r="F9" s="71">
        <f t="shared" si="0"/>
        <v>533.33333333333337</v>
      </c>
      <c r="G9" s="71">
        <f t="shared" si="1"/>
        <v>66.666666666666671</v>
      </c>
      <c r="H9" s="71">
        <f t="shared" si="2"/>
        <v>1.5151515151515154</v>
      </c>
    </row>
    <row r="10" spans="1:11" x14ac:dyDescent="0.3">
      <c r="A10" s="43">
        <v>4</v>
      </c>
      <c r="B10" s="43" t="s">
        <v>143</v>
      </c>
      <c r="C10" s="71"/>
      <c r="D10" s="71"/>
      <c r="E10" s="71">
        <v>22000</v>
      </c>
      <c r="F10" s="71">
        <f t="shared" si="0"/>
        <v>733.33333333333337</v>
      </c>
      <c r="G10" s="71">
        <f t="shared" si="1"/>
        <v>91.666666666666671</v>
      </c>
      <c r="H10" s="71">
        <f t="shared" si="2"/>
        <v>2.0833333333333335</v>
      </c>
    </row>
    <row r="11" spans="1:11" x14ac:dyDescent="0.3">
      <c r="A11" s="43">
        <v>5</v>
      </c>
      <c r="B11" s="43" t="s">
        <v>144</v>
      </c>
      <c r="C11" s="71"/>
      <c r="D11" s="71"/>
      <c r="E11" s="71">
        <v>200000</v>
      </c>
      <c r="F11" s="71">
        <f t="shared" si="0"/>
        <v>6666.666666666667</v>
      </c>
      <c r="G11" s="71">
        <f t="shared" si="1"/>
        <v>833.33333333333337</v>
      </c>
      <c r="H11" s="71">
        <f t="shared" si="2"/>
        <v>18.939393939393941</v>
      </c>
    </row>
    <row r="12" spans="1:11" x14ac:dyDescent="0.3">
      <c r="A12" s="43">
        <v>6</v>
      </c>
      <c r="B12" s="43" t="s">
        <v>145</v>
      </c>
      <c r="C12" s="71"/>
      <c r="D12" s="71"/>
      <c r="E12" s="71"/>
      <c r="F12" s="71"/>
      <c r="G12" s="71">
        <f t="shared" si="1"/>
        <v>0</v>
      </c>
      <c r="H12" s="71">
        <f t="shared" si="2"/>
        <v>0</v>
      </c>
    </row>
    <row r="13" spans="1:11" x14ac:dyDescent="0.3">
      <c r="A13" s="43">
        <v>7</v>
      </c>
      <c r="B13" s="43" t="s">
        <v>146</v>
      </c>
      <c r="C13" s="71"/>
      <c r="D13" s="71"/>
      <c r="E13" s="71">
        <v>100000</v>
      </c>
      <c r="F13" s="71">
        <f t="shared" si="0"/>
        <v>3333.3333333333335</v>
      </c>
      <c r="G13" s="71">
        <f t="shared" si="1"/>
        <v>416.66666666666669</v>
      </c>
      <c r="H13" s="71">
        <f t="shared" si="2"/>
        <v>9.4696969696969706</v>
      </c>
    </row>
    <row r="14" spans="1:11" x14ac:dyDescent="0.3">
      <c r="A14" s="43">
        <v>8</v>
      </c>
      <c r="B14" s="43" t="s">
        <v>147</v>
      </c>
      <c r="C14" s="71"/>
      <c r="D14" s="71"/>
      <c r="E14" s="71">
        <v>183000</v>
      </c>
      <c r="F14" s="71">
        <f t="shared" si="0"/>
        <v>6100</v>
      </c>
      <c r="G14" s="71">
        <f t="shared" si="1"/>
        <v>762.5</v>
      </c>
      <c r="H14" s="71">
        <f t="shared" si="2"/>
        <v>17.329545454545453</v>
      </c>
    </row>
    <row r="15" spans="1:11" x14ac:dyDescent="0.3">
      <c r="A15" s="43">
        <v>9</v>
      </c>
      <c r="B15" s="43" t="s">
        <v>148</v>
      </c>
      <c r="C15" s="71"/>
      <c r="D15" s="71"/>
      <c r="E15" s="71">
        <v>58363</v>
      </c>
      <c r="F15" s="71">
        <f t="shared" si="0"/>
        <v>1945.4333333333334</v>
      </c>
      <c r="G15" s="71">
        <f t="shared" si="1"/>
        <v>243.17916666666667</v>
      </c>
      <c r="H15" s="71">
        <f t="shared" si="2"/>
        <v>5.5267992424242429</v>
      </c>
    </row>
    <row r="16" spans="1:11" ht="15.6" x14ac:dyDescent="0.3">
      <c r="A16" s="43">
        <v>10</v>
      </c>
      <c r="B16" s="43" t="s">
        <v>149</v>
      </c>
      <c r="C16" s="71"/>
      <c r="D16" s="71"/>
      <c r="E16" s="71">
        <v>400000</v>
      </c>
      <c r="F16" s="71">
        <f t="shared" si="0"/>
        <v>13333.333333333334</v>
      </c>
      <c r="G16" s="71">
        <f t="shared" si="1"/>
        <v>1666.6666666666667</v>
      </c>
      <c r="H16" s="71">
        <f t="shared" si="2"/>
        <v>37.878787878787882</v>
      </c>
      <c r="K16" s="41"/>
    </row>
    <row r="17" spans="1:10" x14ac:dyDescent="0.3">
      <c r="A17" s="43">
        <v>11</v>
      </c>
      <c r="B17" s="43" t="s">
        <v>150</v>
      </c>
      <c r="C17" s="71"/>
      <c r="D17" s="71">
        <v>65000</v>
      </c>
      <c r="E17" s="71"/>
      <c r="F17" s="71">
        <f t="shared" si="0"/>
        <v>0</v>
      </c>
      <c r="G17" s="71">
        <f t="shared" si="1"/>
        <v>0</v>
      </c>
      <c r="H17" s="71">
        <f t="shared" si="2"/>
        <v>0</v>
      </c>
    </row>
    <row r="18" spans="1:10" x14ac:dyDescent="0.3">
      <c r="A18" s="43">
        <v>12</v>
      </c>
      <c r="B18" s="43" t="s">
        <v>151</v>
      </c>
      <c r="C18" s="71"/>
      <c r="D18" s="71"/>
      <c r="E18" s="71">
        <v>50000</v>
      </c>
      <c r="F18" s="71">
        <f t="shared" si="0"/>
        <v>1666.6666666666667</v>
      </c>
      <c r="G18" s="71">
        <f t="shared" si="1"/>
        <v>208.33333333333334</v>
      </c>
      <c r="H18" s="71">
        <f t="shared" si="2"/>
        <v>4.7348484848484853</v>
      </c>
    </row>
    <row r="19" spans="1:10" x14ac:dyDescent="0.3">
      <c r="A19" s="43">
        <v>13</v>
      </c>
      <c r="B19" s="43" t="s">
        <v>152</v>
      </c>
      <c r="C19" s="71"/>
      <c r="D19" s="71"/>
      <c r="E19" s="71">
        <v>40000</v>
      </c>
      <c r="F19" s="71">
        <f t="shared" si="0"/>
        <v>1333.3333333333333</v>
      </c>
      <c r="G19" s="71">
        <f t="shared" si="1"/>
        <v>166.66666666666666</v>
      </c>
      <c r="H19" s="71">
        <f t="shared" si="2"/>
        <v>3.7878787878787876</v>
      </c>
    </row>
    <row r="20" spans="1:10" x14ac:dyDescent="0.3">
      <c r="A20" s="43">
        <v>14</v>
      </c>
      <c r="B20" s="43" t="s">
        <v>153</v>
      </c>
      <c r="C20" s="71"/>
      <c r="D20" s="71"/>
      <c r="E20" s="71">
        <v>20000</v>
      </c>
      <c r="F20" s="71">
        <f t="shared" si="0"/>
        <v>666.66666666666663</v>
      </c>
      <c r="G20" s="71">
        <f t="shared" si="1"/>
        <v>83.333333333333329</v>
      </c>
      <c r="H20" s="71">
        <f t="shared" si="2"/>
        <v>1.8939393939393938</v>
      </c>
    </row>
    <row r="21" spans="1:10" x14ac:dyDescent="0.3">
      <c r="A21" s="43">
        <v>15</v>
      </c>
      <c r="B21" s="43" t="s">
        <v>154</v>
      </c>
      <c r="C21" s="71"/>
      <c r="D21" s="71"/>
      <c r="E21" s="71">
        <v>90000</v>
      </c>
      <c r="F21" s="71">
        <f t="shared" si="0"/>
        <v>3000</v>
      </c>
      <c r="G21" s="71">
        <f t="shared" si="1"/>
        <v>375</v>
      </c>
      <c r="H21" s="71">
        <f t="shared" si="2"/>
        <v>8.5227272727272734</v>
      </c>
    </row>
    <row r="22" spans="1:10" x14ac:dyDescent="0.3">
      <c r="A22" s="43">
        <v>16</v>
      </c>
      <c r="B22" s="43" t="s">
        <v>155</v>
      </c>
      <c r="C22" s="71"/>
      <c r="D22" s="71"/>
      <c r="E22" s="71">
        <v>300000</v>
      </c>
      <c r="F22" s="71">
        <f t="shared" si="0"/>
        <v>10000</v>
      </c>
      <c r="G22" s="71">
        <f t="shared" si="1"/>
        <v>1250</v>
      </c>
      <c r="H22" s="71">
        <f t="shared" si="2"/>
        <v>28.40909090909091</v>
      </c>
    </row>
    <row r="23" spans="1:10" x14ac:dyDescent="0.3">
      <c r="A23" s="43">
        <v>17</v>
      </c>
      <c r="B23" s="43" t="s">
        <v>156</v>
      </c>
      <c r="C23" s="71"/>
      <c r="D23" s="71"/>
      <c r="E23" s="71"/>
      <c r="F23" s="71">
        <f t="shared" si="0"/>
        <v>0</v>
      </c>
      <c r="G23" s="71">
        <f t="shared" si="1"/>
        <v>0</v>
      </c>
      <c r="H23" s="71">
        <f t="shared" si="2"/>
        <v>0</v>
      </c>
    </row>
    <row r="24" spans="1:10" x14ac:dyDescent="0.3">
      <c r="A24" s="43">
        <v>18</v>
      </c>
      <c r="B24" s="43" t="s">
        <v>157</v>
      </c>
      <c r="C24" s="71">
        <v>350000</v>
      </c>
      <c r="D24" s="71"/>
      <c r="E24" s="71">
        <v>29166</v>
      </c>
      <c r="F24" s="71">
        <f t="shared" si="0"/>
        <v>972.2</v>
      </c>
      <c r="G24" s="71">
        <f t="shared" si="1"/>
        <v>121.52500000000001</v>
      </c>
      <c r="H24" s="71">
        <f t="shared" si="2"/>
        <v>2.7619318181818184</v>
      </c>
    </row>
    <row r="25" spans="1:10" x14ac:dyDescent="0.3">
      <c r="A25" s="43"/>
      <c r="B25" s="43"/>
      <c r="C25" s="71"/>
      <c r="D25" s="71"/>
      <c r="E25" s="71"/>
      <c r="F25" s="71">
        <f t="shared" si="0"/>
        <v>0</v>
      </c>
      <c r="G25" s="71">
        <f t="shared" si="1"/>
        <v>0</v>
      </c>
      <c r="H25" s="71">
        <f t="shared" si="2"/>
        <v>0</v>
      </c>
    </row>
    <row r="26" spans="1:10" ht="15" thickBot="1" x14ac:dyDescent="0.35">
      <c r="A26" s="43"/>
      <c r="B26" s="43"/>
      <c r="C26" s="71"/>
      <c r="D26" s="71"/>
      <c r="E26" s="80"/>
      <c r="F26" s="71">
        <f t="shared" si="0"/>
        <v>0</v>
      </c>
      <c r="G26" s="71">
        <f t="shared" si="1"/>
        <v>0</v>
      </c>
      <c r="H26" s="71">
        <f t="shared" si="2"/>
        <v>0</v>
      </c>
    </row>
    <row r="27" spans="1:10" ht="15" thickBot="1" x14ac:dyDescent="0.35">
      <c r="E27" s="81">
        <f>SUM(E7:E26)</f>
        <v>3393529</v>
      </c>
      <c r="F27" s="82">
        <f>SUM(F7:F26)</f>
        <v>113117.63333333333</v>
      </c>
      <c r="G27" s="82">
        <f>SUM(G7:G26)</f>
        <v>14139.704166666666</v>
      </c>
      <c r="H27" s="82">
        <f>SUM(H7:H26)</f>
        <v>321.35691287878791</v>
      </c>
      <c r="J27">
        <v>3</v>
      </c>
    </row>
  </sheetData>
  <mergeCells count="1">
    <mergeCell ref="C4:G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"/>
  <sheetViews>
    <sheetView zoomScaleNormal="100" workbookViewId="0">
      <selection activeCell="B12" sqref="B12"/>
    </sheetView>
  </sheetViews>
  <sheetFormatPr baseColWidth="10" defaultRowHeight="14.4" x14ac:dyDescent="0.3"/>
  <cols>
    <col min="1" max="1" width="5.33203125" style="42" customWidth="1"/>
    <col min="2" max="2" width="38.33203125" customWidth="1"/>
    <col min="3" max="3" width="6.21875" customWidth="1"/>
    <col min="4" max="4" width="7.21875" customWidth="1"/>
    <col min="5" max="5" width="7.77734375" customWidth="1"/>
    <col min="6" max="6" width="7.44140625" customWidth="1"/>
    <col min="7" max="7" width="7.77734375" style="67" customWidth="1"/>
    <col min="8" max="8" width="7.88671875" customWidth="1"/>
    <col min="9" max="9" width="9" customWidth="1"/>
    <col min="10" max="10" width="8.5546875" style="40" customWidth="1"/>
    <col min="11" max="11" width="10.88671875" style="40" customWidth="1"/>
    <col min="12" max="12" width="1.5546875" customWidth="1"/>
    <col min="13" max="13" width="10.33203125" customWidth="1"/>
  </cols>
  <sheetData>
    <row r="1" spans="1:16" ht="24.6" customHeight="1" x14ac:dyDescent="0.3">
      <c r="A1" s="62" t="s">
        <v>121</v>
      </c>
      <c r="B1" s="45" t="s">
        <v>125</v>
      </c>
      <c r="C1" s="45"/>
      <c r="D1" s="68" t="s">
        <v>117</v>
      </c>
      <c r="E1" s="68" t="s">
        <v>113</v>
      </c>
      <c r="F1" s="68" t="s">
        <v>114</v>
      </c>
      <c r="G1" s="68" t="s">
        <v>115</v>
      </c>
      <c r="H1" s="62" t="s">
        <v>118</v>
      </c>
      <c r="I1" s="68" t="s">
        <v>116</v>
      </c>
      <c r="J1" s="68" t="s">
        <v>122</v>
      </c>
      <c r="K1" s="46" t="s">
        <v>123</v>
      </c>
      <c r="L1" s="44"/>
      <c r="M1" s="69" t="s">
        <v>124</v>
      </c>
    </row>
    <row r="2" spans="1:16" x14ac:dyDescent="0.3">
      <c r="A2" s="63">
        <v>1</v>
      </c>
      <c r="B2" s="53" t="s">
        <v>75</v>
      </c>
      <c r="C2" s="44">
        <v>1</v>
      </c>
      <c r="D2" s="65">
        <v>2150</v>
      </c>
      <c r="E2" s="47">
        <v>480</v>
      </c>
      <c r="F2" s="47">
        <v>50</v>
      </c>
      <c r="G2" s="65">
        <f>SUM(D2:F2)</f>
        <v>2680</v>
      </c>
      <c r="H2" s="47">
        <f>G2*0.19</f>
        <v>509.2</v>
      </c>
      <c r="I2" s="47">
        <f>G2+H2</f>
        <v>3189.2</v>
      </c>
      <c r="J2" s="85">
        <v>3990</v>
      </c>
      <c r="K2" s="48">
        <f>J2-I2</f>
        <v>800.80000000000018</v>
      </c>
      <c r="L2" s="44"/>
      <c r="M2" s="49">
        <f>K2/J2</f>
        <v>0.20070175438596496</v>
      </c>
    </row>
    <row r="3" spans="1:16" x14ac:dyDescent="0.3">
      <c r="A3" s="63">
        <v>2</v>
      </c>
      <c r="B3" s="53" t="s">
        <v>76</v>
      </c>
      <c r="C3" s="44">
        <v>1</v>
      </c>
      <c r="D3" s="47">
        <v>2150</v>
      </c>
      <c r="E3" s="47">
        <v>480</v>
      </c>
      <c r="F3" s="47">
        <v>50</v>
      </c>
      <c r="G3" s="65">
        <f t="shared" ref="G3:G76" si="0">SUM(D3:F3)</f>
        <v>2680</v>
      </c>
      <c r="H3" s="47">
        <f t="shared" ref="H3:H15" si="1">G3*0.19</f>
        <v>509.2</v>
      </c>
      <c r="I3" s="47">
        <f t="shared" ref="I3:I15" si="2">G3+H3</f>
        <v>3189.2</v>
      </c>
      <c r="J3" s="83">
        <v>3990</v>
      </c>
      <c r="K3" s="48">
        <f t="shared" ref="K3:K76" si="3">J3-I3</f>
        <v>800.80000000000018</v>
      </c>
      <c r="L3" s="44"/>
      <c r="M3" s="49">
        <f t="shared" ref="M3:M74" si="4">K3/J3</f>
        <v>0.20070175438596496</v>
      </c>
    </row>
    <row r="4" spans="1:16" x14ac:dyDescent="0.3">
      <c r="A4" s="63">
        <v>3</v>
      </c>
      <c r="B4" s="53" t="s">
        <v>77</v>
      </c>
      <c r="C4" s="44">
        <v>1</v>
      </c>
      <c r="D4" s="47">
        <v>4850</v>
      </c>
      <c r="E4" s="47">
        <v>480</v>
      </c>
      <c r="F4" s="47">
        <v>50</v>
      </c>
      <c r="G4" s="65">
        <f t="shared" si="0"/>
        <v>5380</v>
      </c>
      <c r="H4" s="47">
        <f t="shared" si="1"/>
        <v>1022.2</v>
      </c>
      <c r="I4" s="47">
        <f t="shared" si="2"/>
        <v>6402.2</v>
      </c>
      <c r="J4" s="84">
        <v>7990</v>
      </c>
      <c r="K4" s="48">
        <f t="shared" si="3"/>
        <v>1587.8000000000002</v>
      </c>
      <c r="L4" s="44"/>
      <c r="M4" s="49">
        <f t="shared" si="4"/>
        <v>0.19872340425531917</v>
      </c>
    </row>
    <row r="5" spans="1:16" x14ac:dyDescent="0.3">
      <c r="A5" s="63">
        <v>4</v>
      </c>
      <c r="B5" s="53" t="s">
        <v>15</v>
      </c>
      <c r="C5" s="44">
        <v>1</v>
      </c>
      <c r="D5" s="47">
        <v>5850</v>
      </c>
      <c r="E5" s="47">
        <v>480</v>
      </c>
      <c r="F5" s="47">
        <v>50</v>
      </c>
      <c r="G5" s="65">
        <f t="shared" si="0"/>
        <v>6380</v>
      </c>
      <c r="H5" s="47">
        <f t="shared" si="1"/>
        <v>1212.2</v>
      </c>
      <c r="I5" s="47">
        <f t="shared" si="2"/>
        <v>7592.2</v>
      </c>
      <c r="J5" s="86">
        <v>6</v>
      </c>
      <c r="K5" s="48">
        <f t="shared" si="3"/>
        <v>-7586.2</v>
      </c>
      <c r="L5" s="44"/>
      <c r="M5" s="49">
        <f t="shared" si="4"/>
        <v>-1264.3666666666666</v>
      </c>
    </row>
    <row r="6" spans="1:16" x14ac:dyDescent="0.3">
      <c r="A6" s="63">
        <v>5</v>
      </c>
      <c r="B6" s="53" t="s">
        <v>16</v>
      </c>
      <c r="C6" s="44">
        <v>1</v>
      </c>
      <c r="D6" s="47">
        <v>2254</v>
      </c>
      <c r="E6" s="47">
        <v>480</v>
      </c>
      <c r="F6" s="47">
        <v>50</v>
      </c>
      <c r="G6" s="65">
        <f t="shared" si="0"/>
        <v>2784</v>
      </c>
      <c r="H6" s="47">
        <f t="shared" si="1"/>
        <v>528.96</v>
      </c>
      <c r="I6" s="47">
        <f t="shared" si="2"/>
        <v>3312.96</v>
      </c>
      <c r="J6" s="84">
        <v>4490</v>
      </c>
      <c r="K6" s="48">
        <f t="shared" si="3"/>
        <v>1177.04</v>
      </c>
      <c r="L6" s="44"/>
      <c r="M6" s="49">
        <f t="shared" si="4"/>
        <v>0.26214699331848551</v>
      </c>
    </row>
    <row r="7" spans="1:16" x14ac:dyDescent="0.3">
      <c r="A7" s="63">
        <v>6</v>
      </c>
      <c r="B7" s="53" t="s">
        <v>20</v>
      </c>
      <c r="C7" s="51">
        <v>1</v>
      </c>
      <c r="D7" s="52">
        <v>500</v>
      </c>
      <c r="E7" s="47">
        <v>480</v>
      </c>
      <c r="F7" s="47">
        <v>50</v>
      </c>
      <c r="G7" s="65">
        <f t="shared" si="0"/>
        <v>1030</v>
      </c>
      <c r="H7" s="47">
        <f t="shared" si="1"/>
        <v>195.7</v>
      </c>
      <c r="I7" s="47">
        <f t="shared" si="2"/>
        <v>1225.7</v>
      </c>
      <c r="J7" s="83">
        <v>1990</v>
      </c>
      <c r="K7" s="48">
        <f t="shared" si="3"/>
        <v>764.3</v>
      </c>
      <c r="L7" s="44"/>
      <c r="M7" s="49">
        <f t="shared" si="4"/>
        <v>0.38407035175879395</v>
      </c>
    </row>
    <row r="8" spans="1:16" x14ac:dyDescent="0.3">
      <c r="A8" s="63">
        <v>7</v>
      </c>
      <c r="B8" s="53" t="s">
        <v>79</v>
      </c>
      <c r="C8" s="51">
        <v>1</v>
      </c>
      <c r="D8" s="52">
        <v>2873</v>
      </c>
      <c r="E8" s="47">
        <v>480</v>
      </c>
      <c r="F8" s="47">
        <v>50</v>
      </c>
      <c r="G8" s="65">
        <f t="shared" si="0"/>
        <v>3403</v>
      </c>
      <c r="H8" s="47">
        <f t="shared" si="1"/>
        <v>646.57000000000005</v>
      </c>
      <c r="I8" s="47">
        <f t="shared" si="2"/>
        <v>4049.57</v>
      </c>
      <c r="J8" s="85">
        <v>5190</v>
      </c>
      <c r="K8" s="48">
        <f t="shared" si="3"/>
        <v>1140.4299999999998</v>
      </c>
      <c r="L8" s="44"/>
      <c r="M8" s="49">
        <f t="shared" si="4"/>
        <v>0.21973603082851634</v>
      </c>
      <c r="P8">
        <v>7690</v>
      </c>
    </row>
    <row r="9" spans="1:16" x14ac:dyDescent="0.3">
      <c r="A9" s="63">
        <v>8</v>
      </c>
      <c r="B9" s="51" t="s">
        <v>81</v>
      </c>
      <c r="C9" s="51">
        <v>1</v>
      </c>
      <c r="D9" s="52">
        <v>3500</v>
      </c>
      <c r="E9" s="47">
        <v>480</v>
      </c>
      <c r="F9" s="47">
        <v>50</v>
      </c>
      <c r="G9" s="65">
        <f t="shared" si="0"/>
        <v>4030</v>
      </c>
      <c r="H9" s="47">
        <f t="shared" si="1"/>
        <v>765.7</v>
      </c>
      <c r="I9" s="47">
        <f t="shared" si="2"/>
        <v>4795.7</v>
      </c>
      <c r="J9" s="83">
        <v>6290</v>
      </c>
      <c r="K9" s="48">
        <f t="shared" si="3"/>
        <v>1494.3000000000002</v>
      </c>
      <c r="L9" s="44"/>
      <c r="M9" s="49">
        <f t="shared" si="4"/>
        <v>0.23756756756756758</v>
      </c>
    </row>
    <row r="10" spans="1:16" x14ac:dyDescent="0.3">
      <c r="A10" s="63">
        <v>9</v>
      </c>
      <c r="B10" s="53" t="s">
        <v>109</v>
      </c>
      <c r="C10" s="51">
        <v>1</v>
      </c>
      <c r="D10" s="52">
        <v>2770</v>
      </c>
      <c r="E10" s="47">
        <v>480</v>
      </c>
      <c r="F10" s="47">
        <v>50</v>
      </c>
      <c r="G10" s="65">
        <f t="shared" si="0"/>
        <v>3300</v>
      </c>
      <c r="H10" s="47">
        <f t="shared" si="1"/>
        <v>627</v>
      </c>
      <c r="I10" s="47">
        <f t="shared" si="2"/>
        <v>3927</v>
      </c>
      <c r="J10" s="85">
        <v>5390</v>
      </c>
      <c r="K10" s="48">
        <f t="shared" si="3"/>
        <v>1463</v>
      </c>
      <c r="L10" s="44"/>
      <c r="M10" s="49">
        <f t="shared" si="4"/>
        <v>0.27142857142857141</v>
      </c>
    </row>
    <row r="11" spans="1:16" x14ac:dyDescent="0.3">
      <c r="A11" s="63">
        <v>10</v>
      </c>
      <c r="B11" s="51" t="s">
        <v>18</v>
      </c>
      <c r="C11" s="51">
        <v>1</v>
      </c>
      <c r="D11" s="52">
        <v>2000</v>
      </c>
      <c r="E11" s="47">
        <v>480</v>
      </c>
      <c r="F11" s="47">
        <v>50</v>
      </c>
      <c r="G11" s="65">
        <f t="shared" si="0"/>
        <v>2530</v>
      </c>
      <c r="H11" s="47">
        <f t="shared" si="1"/>
        <v>480.7</v>
      </c>
      <c r="I11" s="47">
        <f t="shared" si="2"/>
        <v>3010.7</v>
      </c>
      <c r="J11" s="83">
        <v>3690</v>
      </c>
      <c r="K11" s="48">
        <f t="shared" si="3"/>
        <v>679.30000000000018</v>
      </c>
      <c r="L11" s="44"/>
      <c r="M11" s="49">
        <f t="shared" si="4"/>
        <v>0.18409214092140927</v>
      </c>
    </row>
    <row r="12" spans="1:16" x14ac:dyDescent="0.3">
      <c r="A12" s="63">
        <v>11</v>
      </c>
      <c r="B12" s="51" t="s">
        <v>119</v>
      </c>
      <c r="C12" s="51"/>
      <c r="D12" s="52">
        <v>899</v>
      </c>
      <c r="E12" s="47">
        <v>480</v>
      </c>
      <c r="F12" s="47">
        <v>50</v>
      </c>
      <c r="G12" s="65">
        <f t="shared" si="0"/>
        <v>1429</v>
      </c>
      <c r="H12" s="47">
        <f t="shared" si="1"/>
        <v>271.51</v>
      </c>
      <c r="I12" s="47">
        <f t="shared" si="2"/>
        <v>1700.51</v>
      </c>
      <c r="J12" s="83">
        <v>1990</v>
      </c>
      <c r="K12" s="48">
        <f t="shared" si="3"/>
        <v>289.49</v>
      </c>
      <c r="L12" s="44"/>
      <c r="M12" s="49">
        <f t="shared" si="4"/>
        <v>0.14547236180904524</v>
      </c>
    </row>
    <row r="13" spans="1:16" x14ac:dyDescent="0.3">
      <c r="A13" s="63">
        <v>12</v>
      </c>
      <c r="B13" s="53" t="s">
        <v>161</v>
      </c>
      <c r="C13" s="51"/>
      <c r="D13" s="52">
        <v>2254</v>
      </c>
      <c r="E13" s="47">
        <v>480</v>
      </c>
      <c r="F13" s="47">
        <v>50</v>
      </c>
      <c r="G13" s="65">
        <f t="shared" ref="G13" si="5">SUM(D13:F13)</f>
        <v>2784</v>
      </c>
      <c r="H13" s="47">
        <f t="shared" ref="H13" si="6">G13*0.19</f>
        <v>528.96</v>
      </c>
      <c r="I13" s="47">
        <f t="shared" ref="I13" si="7">G13+H13</f>
        <v>3312.96</v>
      </c>
      <c r="J13" s="83">
        <v>4390</v>
      </c>
      <c r="K13" s="48">
        <f t="shared" ref="K13" si="8">J13-I13</f>
        <v>1077.04</v>
      </c>
      <c r="L13" s="44"/>
      <c r="M13" s="49">
        <f t="shared" ref="M13" si="9">K13/J13</f>
        <v>0.2453394077448747</v>
      </c>
    </row>
    <row r="14" spans="1:16" x14ac:dyDescent="0.3">
      <c r="A14" s="63">
        <v>13</v>
      </c>
      <c r="B14" s="51" t="s">
        <v>158</v>
      </c>
      <c r="C14" s="51"/>
      <c r="D14" s="52">
        <v>1350</v>
      </c>
      <c r="E14" s="47">
        <v>480</v>
      </c>
      <c r="F14" s="47">
        <v>50</v>
      </c>
      <c r="G14" s="65">
        <f t="shared" ref="G14" si="10">SUM(D14:F14)</f>
        <v>1880</v>
      </c>
      <c r="H14" s="47">
        <f t="shared" ref="H14" si="11">G14*0.19</f>
        <v>357.2</v>
      </c>
      <c r="I14" s="47">
        <f t="shared" ref="I14" si="12">G14+H14</f>
        <v>2237.1999999999998</v>
      </c>
      <c r="J14" s="83">
        <v>3190</v>
      </c>
      <c r="K14" s="48">
        <f t="shared" ref="K14" si="13">J14-I14</f>
        <v>952.80000000000018</v>
      </c>
      <c r="L14" s="44"/>
      <c r="M14" s="49">
        <f t="shared" ref="M14" si="14">K14/J14</f>
        <v>0.29868338557993734</v>
      </c>
    </row>
    <row r="15" spans="1:16" x14ac:dyDescent="0.3">
      <c r="A15" s="63">
        <v>14</v>
      </c>
      <c r="B15" s="51" t="s">
        <v>100</v>
      </c>
      <c r="C15" s="51">
        <v>1</v>
      </c>
      <c r="D15" s="52">
        <v>3900</v>
      </c>
      <c r="E15" s="47">
        <v>480</v>
      </c>
      <c r="F15" s="47">
        <v>50</v>
      </c>
      <c r="G15" s="65">
        <f t="shared" si="0"/>
        <v>4430</v>
      </c>
      <c r="H15" s="47">
        <f t="shared" si="1"/>
        <v>841.7</v>
      </c>
      <c r="I15" s="47">
        <f t="shared" si="2"/>
        <v>5271.7</v>
      </c>
      <c r="J15" s="48">
        <v>6390</v>
      </c>
      <c r="K15" s="48">
        <f t="shared" si="3"/>
        <v>1118.3000000000002</v>
      </c>
      <c r="L15" s="44"/>
      <c r="M15" s="49">
        <f t="shared" si="4"/>
        <v>0.1750078247261346</v>
      </c>
    </row>
    <row r="16" spans="1:16" ht="5.4" customHeight="1" x14ac:dyDescent="0.3">
      <c r="A16" s="63"/>
      <c r="B16" s="53"/>
      <c r="C16" s="53"/>
      <c r="D16" s="54"/>
      <c r="E16" s="47">
        <v>480</v>
      </c>
      <c r="F16" s="54"/>
      <c r="G16" s="66"/>
      <c r="H16" s="54"/>
      <c r="I16" s="54"/>
      <c r="J16" s="55"/>
      <c r="K16" s="55"/>
      <c r="L16" s="53"/>
      <c r="M16" s="56"/>
    </row>
    <row r="17" spans="1:13" x14ac:dyDescent="0.3">
      <c r="A17" s="63">
        <v>1</v>
      </c>
      <c r="B17" s="57" t="s">
        <v>36</v>
      </c>
      <c r="C17" s="57">
        <v>1</v>
      </c>
      <c r="D17" s="58">
        <v>6090</v>
      </c>
      <c r="E17" s="47">
        <v>480</v>
      </c>
      <c r="F17" s="47">
        <v>50</v>
      </c>
      <c r="G17" s="65">
        <f t="shared" si="0"/>
        <v>6620</v>
      </c>
      <c r="H17" s="47">
        <f>G17*0.19</f>
        <v>1257.8</v>
      </c>
      <c r="I17" s="47">
        <f>G17+H17</f>
        <v>7877.8</v>
      </c>
      <c r="J17" s="50">
        <v>9790</v>
      </c>
      <c r="K17" s="48">
        <f t="shared" si="3"/>
        <v>1912.1999999999998</v>
      </c>
      <c r="L17" s="44"/>
      <c r="M17" s="49">
        <f t="shared" si="4"/>
        <v>0.19532175689479059</v>
      </c>
    </row>
    <row r="18" spans="1:13" x14ac:dyDescent="0.3">
      <c r="A18" s="63">
        <v>2</v>
      </c>
      <c r="B18" s="57" t="s">
        <v>84</v>
      </c>
      <c r="C18" s="57">
        <v>1</v>
      </c>
      <c r="D18" s="58">
        <v>6170</v>
      </c>
      <c r="E18" s="47">
        <v>480</v>
      </c>
      <c r="F18" s="47">
        <v>50</v>
      </c>
      <c r="G18" s="65">
        <f t="shared" si="0"/>
        <v>6700</v>
      </c>
      <c r="H18" s="47">
        <f t="shared" ref="H18:H47" si="15">G18*0.19</f>
        <v>1273</v>
      </c>
      <c r="I18" s="47">
        <f t="shared" ref="I18:I55" si="16">G18+H18</f>
        <v>7973</v>
      </c>
      <c r="J18" s="50">
        <v>10990</v>
      </c>
      <c r="K18" s="48">
        <f t="shared" si="3"/>
        <v>3017</v>
      </c>
      <c r="L18" s="44"/>
      <c r="M18" s="49">
        <f t="shared" si="4"/>
        <v>0.27452229299363057</v>
      </c>
    </row>
    <row r="19" spans="1:13" x14ac:dyDescent="0.3">
      <c r="A19" s="63">
        <v>3</v>
      </c>
      <c r="B19" s="57" t="s">
        <v>97</v>
      </c>
      <c r="C19" s="57"/>
      <c r="D19" s="58">
        <v>3590</v>
      </c>
      <c r="E19" s="47">
        <v>480</v>
      </c>
      <c r="F19" s="47">
        <v>50</v>
      </c>
      <c r="G19" s="65">
        <f t="shared" si="0"/>
        <v>4120</v>
      </c>
      <c r="H19" s="47">
        <f t="shared" si="15"/>
        <v>782.8</v>
      </c>
      <c r="I19" s="47">
        <f t="shared" si="16"/>
        <v>4902.8</v>
      </c>
      <c r="J19" s="50">
        <v>6490</v>
      </c>
      <c r="K19" s="48">
        <f t="shared" si="3"/>
        <v>1587.1999999999998</v>
      </c>
      <c r="L19" s="44"/>
      <c r="M19" s="49">
        <f t="shared" si="4"/>
        <v>0.24456086286594758</v>
      </c>
    </row>
    <row r="20" spans="1:13" x14ac:dyDescent="0.3">
      <c r="A20" s="63">
        <v>4</v>
      </c>
      <c r="B20" s="57" t="s">
        <v>85</v>
      </c>
      <c r="C20" s="57">
        <v>1</v>
      </c>
      <c r="D20" s="58">
        <v>2990</v>
      </c>
      <c r="E20" s="47">
        <v>480</v>
      </c>
      <c r="F20" s="47">
        <v>50</v>
      </c>
      <c r="G20" s="65">
        <f t="shared" si="0"/>
        <v>3520</v>
      </c>
      <c r="H20" s="47">
        <f t="shared" si="15"/>
        <v>668.8</v>
      </c>
      <c r="I20" s="47">
        <f t="shared" si="16"/>
        <v>4188.8</v>
      </c>
      <c r="J20" s="50">
        <v>6290</v>
      </c>
      <c r="K20" s="48">
        <f t="shared" si="3"/>
        <v>2101.1999999999998</v>
      </c>
      <c r="L20" s="44"/>
      <c r="M20" s="49">
        <f t="shared" si="4"/>
        <v>0.33405405405405403</v>
      </c>
    </row>
    <row r="21" spans="1:13" ht="18" customHeight="1" x14ac:dyDescent="0.3">
      <c r="A21" s="63">
        <v>5</v>
      </c>
      <c r="B21" s="57" t="s">
        <v>32</v>
      </c>
      <c r="C21" s="57">
        <v>1</v>
      </c>
      <c r="D21" s="58">
        <v>5390</v>
      </c>
      <c r="E21" s="47">
        <v>480</v>
      </c>
      <c r="F21" s="47">
        <v>50</v>
      </c>
      <c r="G21" s="65">
        <f t="shared" si="0"/>
        <v>5920</v>
      </c>
      <c r="H21" s="47">
        <f t="shared" si="15"/>
        <v>1124.8</v>
      </c>
      <c r="I21" s="47">
        <f t="shared" si="16"/>
        <v>7044.8</v>
      </c>
      <c r="J21" s="50">
        <v>8990</v>
      </c>
      <c r="K21" s="48">
        <f t="shared" si="3"/>
        <v>1945.1999999999998</v>
      </c>
      <c r="L21" s="44"/>
      <c r="M21" s="49">
        <f t="shared" si="4"/>
        <v>0.21637374860956615</v>
      </c>
    </row>
    <row r="22" spans="1:13" ht="18" customHeight="1" x14ac:dyDescent="0.3">
      <c r="A22" s="63">
        <v>6</v>
      </c>
      <c r="B22" s="57" t="s">
        <v>44</v>
      </c>
      <c r="C22" s="57">
        <v>1</v>
      </c>
      <c r="D22" s="58">
        <v>5690</v>
      </c>
      <c r="E22" s="47">
        <v>480</v>
      </c>
      <c r="F22" s="47">
        <v>50</v>
      </c>
      <c r="G22" s="65">
        <f t="shared" si="0"/>
        <v>6220</v>
      </c>
      <c r="H22" s="47">
        <f t="shared" si="15"/>
        <v>1181.8</v>
      </c>
      <c r="I22" s="47">
        <f t="shared" si="16"/>
        <v>7401.8</v>
      </c>
      <c r="J22" s="50">
        <v>9690</v>
      </c>
      <c r="K22" s="48">
        <f t="shared" si="3"/>
        <v>2288.1999999999998</v>
      </c>
      <c r="L22" s="44"/>
      <c r="M22" s="49">
        <f t="shared" si="4"/>
        <v>0.23614035087719296</v>
      </c>
    </row>
    <row r="23" spans="1:13" x14ac:dyDescent="0.3">
      <c r="A23" s="63">
        <v>7</v>
      </c>
      <c r="B23" s="57" t="s">
        <v>70</v>
      </c>
      <c r="C23" s="57">
        <v>1</v>
      </c>
      <c r="D23" s="58">
        <v>9150</v>
      </c>
      <c r="E23" s="47">
        <v>480</v>
      </c>
      <c r="F23" s="47">
        <v>50</v>
      </c>
      <c r="G23" s="65">
        <f t="shared" si="0"/>
        <v>9680</v>
      </c>
      <c r="H23" s="47">
        <f t="shared" si="15"/>
        <v>1839.2</v>
      </c>
      <c r="I23" s="47">
        <f t="shared" si="16"/>
        <v>11519.2</v>
      </c>
      <c r="J23" s="50">
        <v>16590</v>
      </c>
      <c r="K23" s="48">
        <f t="shared" si="3"/>
        <v>5070.7999999999993</v>
      </c>
      <c r="L23" s="44"/>
      <c r="M23" s="49">
        <f t="shared" si="4"/>
        <v>0.30565400843881851</v>
      </c>
    </row>
    <row r="24" spans="1:13" x14ac:dyDescent="0.3">
      <c r="A24" s="63"/>
      <c r="B24" s="57" t="s">
        <v>163</v>
      </c>
      <c r="C24" s="57">
        <v>1</v>
      </c>
      <c r="D24" s="58">
        <v>11290</v>
      </c>
      <c r="E24" s="47">
        <v>480</v>
      </c>
      <c r="F24" s="47">
        <v>50</v>
      </c>
      <c r="G24" s="65">
        <f t="shared" ref="G24" si="17">SUM(D24:F24)</f>
        <v>11820</v>
      </c>
      <c r="H24" s="47">
        <f t="shared" si="15"/>
        <v>2245.8000000000002</v>
      </c>
      <c r="I24" s="47">
        <f t="shared" ref="I24" si="18">G24+H24</f>
        <v>14065.8</v>
      </c>
      <c r="J24" s="50">
        <v>17690</v>
      </c>
      <c r="K24" s="48">
        <f t="shared" ref="K24" si="19">J24-I24</f>
        <v>3624.2000000000007</v>
      </c>
      <c r="L24" s="44"/>
      <c r="M24" s="49">
        <f t="shared" ref="M24" si="20">K24/J24</f>
        <v>0.20487280949689093</v>
      </c>
    </row>
    <row r="25" spans="1:13" x14ac:dyDescent="0.3">
      <c r="A25" s="63">
        <v>8</v>
      </c>
      <c r="B25" s="57" t="s">
        <v>65</v>
      </c>
      <c r="C25" s="57">
        <v>1</v>
      </c>
      <c r="D25" s="58">
        <v>7390</v>
      </c>
      <c r="E25" s="47">
        <v>480</v>
      </c>
      <c r="F25" s="47">
        <v>50</v>
      </c>
      <c r="G25" s="65">
        <f t="shared" si="0"/>
        <v>7920</v>
      </c>
      <c r="H25" s="47">
        <f t="shared" si="15"/>
        <v>1504.8</v>
      </c>
      <c r="I25" s="47">
        <f t="shared" si="16"/>
        <v>9424.7999999999993</v>
      </c>
      <c r="J25" s="50">
        <v>11890</v>
      </c>
      <c r="K25" s="48">
        <f t="shared" si="3"/>
        <v>2465.2000000000007</v>
      </c>
      <c r="L25" s="44"/>
      <c r="M25" s="49">
        <f t="shared" si="4"/>
        <v>0.20733389402859553</v>
      </c>
    </row>
    <row r="26" spans="1:13" x14ac:dyDescent="0.3">
      <c r="A26" s="63">
        <v>9</v>
      </c>
      <c r="B26" s="57" t="s">
        <v>111</v>
      </c>
      <c r="C26" s="57">
        <v>1</v>
      </c>
      <c r="D26" s="58">
        <v>6270</v>
      </c>
      <c r="E26" s="47">
        <v>480</v>
      </c>
      <c r="F26" s="47">
        <v>50</v>
      </c>
      <c r="G26" s="65">
        <f t="shared" si="0"/>
        <v>6800</v>
      </c>
      <c r="H26" s="47">
        <f t="shared" si="15"/>
        <v>1292</v>
      </c>
      <c r="I26" s="47">
        <f t="shared" si="16"/>
        <v>8092</v>
      </c>
      <c r="J26" s="50">
        <v>11590</v>
      </c>
      <c r="K26" s="48">
        <f t="shared" si="3"/>
        <v>3498</v>
      </c>
      <c r="L26" s="44"/>
      <c r="M26" s="49">
        <f t="shared" si="4"/>
        <v>0.30181190681622089</v>
      </c>
    </row>
    <row r="27" spans="1:13" x14ac:dyDescent="0.3">
      <c r="A27" s="63">
        <v>10</v>
      </c>
      <c r="B27" s="57" t="s">
        <v>86</v>
      </c>
      <c r="C27" s="57"/>
      <c r="D27" s="58">
        <v>6990</v>
      </c>
      <c r="E27" s="47">
        <v>480</v>
      </c>
      <c r="F27" s="47">
        <v>50</v>
      </c>
      <c r="G27" s="65">
        <f t="shared" si="0"/>
        <v>7520</v>
      </c>
      <c r="H27" s="47">
        <f t="shared" si="15"/>
        <v>1428.8</v>
      </c>
      <c r="I27" s="47">
        <f t="shared" si="16"/>
        <v>8948.7999999999993</v>
      </c>
      <c r="J27" s="50">
        <v>12390</v>
      </c>
      <c r="K27" s="48">
        <f t="shared" si="3"/>
        <v>3441.2000000000007</v>
      </c>
      <c r="L27" s="44"/>
      <c r="M27" s="49">
        <f t="shared" si="4"/>
        <v>0.27774011299435036</v>
      </c>
    </row>
    <row r="28" spans="1:13" x14ac:dyDescent="0.3">
      <c r="A28" s="63">
        <v>11</v>
      </c>
      <c r="B28" s="57" t="s">
        <v>71</v>
      </c>
      <c r="C28" s="57">
        <v>1</v>
      </c>
      <c r="D28" s="58">
        <v>6060</v>
      </c>
      <c r="E28" s="47">
        <v>480</v>
      </c>
      <c r="F28" s="47">
        <v>50</v>
      </c>
      <c r="G28" s="65">
        <f t="shared" si="0"/>
        <v>6590</v>
      </c>
      <c r="H28" s="47">
        <f t="shared" si="15"/>
        <v>1252.0999999999999</v>
      </c>
      <c r="I28" s="47">
        <f t="shared" si="16"/>
        <v>7842.1</v>
      </c>
      <c r="J28" s="50">
        <v>9990</v>
      </c>
      <c r="K28" s="48">
        <f t="shared" si="3"/>
        <v>2147.8999999999996</v>
      </c>
      <c r="L28" s="44"/>
      <c r="M28" s="49">
        <f t="shared" si="4"/>
        <v>0.21500500500500497</v>
      </c>
    </row>
    <row r="29" spans="1:13" x14ac:dyDescent="0.3">
      <c r="A29" s="63">
        <v>12</v>
      </c>
      <c r="B29" s="57" t="s">
        <v>66</v>
      </c>
      <c r="C29" s="57">
        <v>1</v>
      </c>
      <c r="D29" s="58">
        <v>5690</v>
      </c>
      <c r="E29" s="47">
        <v>480</v>
      </c>
      <c r="F29" s="47">
        <v>50</v>
      </c>
      <c r="G29" s="65">
        <f t="shared" si="0"/>
        <v>6220</v>
      </c>
      <c r="H29" s="47">
        <f t="shared" si="15"/>
        <v>1181.8</v>
      </c>
      <c r="I29" s="47">
        <f t="shared" si="16"/>
        <v>7401.8</v>
      </c>
      <c r="J29" s="50">
        <v>9990</v>
      </c>
      <c r="K29" s="48">
        <f t="shared" si="3"/>
        <v>2588.1999999999998</v>
      </c>
      <c r="L29" s="44"/>
      <c r="M29" s="49">
        <f t="shared" si="4"/>
        <v>0.25907907907907907</v>
      </c>
    </row>
    <row r="30" spans="1:13" x14ac:dyDescent="0.3">
      <c r="A30" s="63">
        <v>13</v>
      </c>
      <c r="B30" s="57" t="s">
        <v>69</v>
      </c>
      <c r="C30" s="57">
        <v>1</v>
      </c>
      <c r="D30" s="58">
        <v>5990</v>
      </c>
      <c r="E30" s="47">
        <v>480</v>
      </c>
      <c r="F30" s="47">
        <v>50</v>
      </c>
      <c r="G30" s="65">
        <f t="shared" si="0"/>
        <v>6520</v>
      </c>
      <c r="H30" s="47">
        <f t="shared" si="15"/>
        <v>1238.8</v>
      </c>
      <c r="I30" s="47">
        <f t="shared" si="16"/>
        <v>7758.8</v>
      </c>
      <c r="J30" s="50">
        <v>9990</v>
      </c>
      <c r="K30" s="48">
        <f t="shared" si="3"/>
        <v>2231.1999999999998</v>
      </c>
      <c r="L30" s="44"/>
      <c r="M30" s="49">
        <f t="shared" si="4"/>
        <v>0.22334334334334333</v>
      </c>
    </row>
    <row r="31" spans="1:13" x14ac:dyDescent="0.3">
      <c r="A31" s="63">
        <v>14</v>
      </c>
      <c r="B31" s="57" t="s">
        <v>40</v>
      </c>
      <c r="C31" s="57">
        <v>1</v>
      </c>
      <c r="D31" s="58">
        <v>8690</v>
      </c>
      <c r="E31" s="47">
        <v>480</v>
      </c>
      <c r="F31" s="47">
        <v>50</v>
      </c>
      <c r="G31" s="65">
        <f t="shared" si="0"/>
        <v>9220</v>
      </c>
      <c r="H31" s="47">
        <f t="shared" si="15"/>
        <v>1751.8</v>
      </c>
      <c r="I31" s="47">
        <f t="shared" si="16"/>
        <v>10971.8</v>
      </c>
      <c r="J31" s="50">
        <v>13990</v>
      </c>
      <c r="K31" s="48">
        <f t="shared" si="3"/>
        <v>3018.2000000000007</v>
      </c>
      <c r="L31" s="44"/>
      <c r="M31" s="49">
        <f t="shared" si="4"/>
        <v>0.21573981415296645</v>
      </c>
    </row>
    <row r="32" spans="1:13" x14ac:dyDescent="0.3">
      <c r="A32" s="63">
        <v>15</v>
      </c>
      <c r="B32" s="57" t="s">
        <v>64</v>
      </c>
      <c r="C32" s="57">
        <v>1</v>
      </c>
      <c r="D32" s="58"/>
      <c r="E32" s="47">
        <v>480</v>
      </c>
      <c r="F32" s="47">
        <v>50</v>
      </c>
      <c r="G32" s="65">
        <f t="shared" si="0"/>
        <v>530</v>
      </c>
      <c r="H32" s="47">
        <f t="shared" si="15"/>
        <v>100.7</v>
      </c>
      <c r="I32" s="47">
        <f t="shared" si="16"/>
        <v>630.70000000000005</v>
      </c>
      <c r="J32" s="50">
        <v>10990</v>
      </c>
      <c r="K32" s="48">
        <f t="shared" si="3"/>
        <v>10359.299999999999</v>
      </c>
      <c r="L32" s="44"/>
      <c r="M32" s="49"/>
    </row>
    <row r="33" spans="1:14" x14ac:dyDescent="0.3">
      <c r="A33" s="63">
        <v>16</v>
      </c>
      <c r="B33" s="57" t="s">
        <v>166</v>
      </c>
      <c r="C33" s="57">
        <v>1</v>
      </c>
      <c r="D33" s="58">
        <v>6990</v>
      </c>
      <c r="E33" s="47">
        <v>480</v>
      </c>
      <c r="F33" s="47">
        <v>50</v>
      </c>
      <c r="G33" s="65">
        <f t="shared" si="0"/>
        <v>7520</v>
      </c>
      <c r="H33" s="47">
        <f t="shared" si="15"/>
        <v>1428.8</v>
      </c>
      <c r="I33" s="47">
        <f t="shared" si="16"/>
        <v>8948.7999999999993</v>
      </c>
      <c r="J33" s="50">
        <v>11590</v>
      </c>
      <c r="K33" s="48">
        <f t="shared" si="3"/>
        <v>2641.2000000000007</v>
      </c>
      <c r="L33" s="44"/>
      <c r="M33" s="49">
        <f t="shared" si="4"/>
        <v>0.22788610871440904</v>
      </c>
    </row>
    <row r="34" spans="1:14" x14ac:dyDescent="0.3">
      <c r="A34" s="63">
        <v>17</v>
      </c>
      <c r="B34" s="57" t="s">
        <v>80</v>
      </c>
      <c r="C34" s="57">
        <v>1</v>
      </c>
      <c r="D34" s="58">
        <v>7990</v>
      </c>
      <c r="E34" s="47">
        <v>480</v>
      </c>
      <c r="F34" s="47">
        <v>50</v>
      </c>
      <c r="G34" s="65">
        <f t="shared" si="0"/>
        <v>8520</v>
      </c>
      <c r="H34" s="47">
        <f t="shared" si="15"/>
        <v>1618.8</v>
      </c>
      <c r="I34" s="47">
        <f t="shared" si="16"/>
        <v>10138.799999999999</v>
      </c>
      <c r="J34" s="50">
        <v>13900</v>
      </c>
      <c r="K34" s="48">
        <f t="shared" si="3"/>
        <v>3761.2000000000007</v>
      </c>
      <c r="L34" s="44"/>
      <c r="M34" s="49">
        <f t="shared" si="4"/>
        <v>0.270589928057554</v>
      </c>
    </row>
    <row r="35" spans="1:14" x14ac:dyDescent="0.3">
      <c r="A35" s="63"/>
      <c r="B35" s="57" t="s">
        <v>167</v>
      </c>
      <c r="C35" s="57"/>
      <c r="D35" s="58">
        <v>6990</v>
      </c>
      <c r="E35" s="47">
        <v>480</v>
      </c>
      <c r="F35" s="47">
        <v>50</v>
      </c>
      <c r="G35" s="65">
        <f t="shared" ref="G35" si="21">SUM(D35:F35)</f>
        <v>7520</v>
      </c>
      <c r="H35" s="47">
        <f t="shared" si="15"/>
        <v>1428.8</v>
      </c>
      <c r="I35" s="47">
        <f t="shared" ref="I35" si="22">G35+H35</f>
        <v>8948.7999999999993</v>
      </c>
      <c r="J35" s="59">
        <v>11990</v>
      </c>
      <c r="K35" s="55">
        <f t="shared" ref="K35" si="23">J35-I35</f>
        <v>3041.2000000000007</v>
      </c>
      <c r="L35" s="53"/>
      <c r="M35" s="56">
        <f t="shared" ref="M35" si="24">K35/J35</f>
        <v>0.25364470391993332</v>
      </c>
    </row>
    <row r="36" spans="1:14" x14ac:dyDescent="0.3">
      <c r="A36" s="63">
        <v>19</v>
      </c>
      <c r="B36" s="57" t="s">
        <v>160</v>
      </c>
      <c r="C36" s="57"/>
      <c r="D36" s="58">
        <v>7990</v>
      </c>
      <c r="E36" s="47">
        <v>480</v>
      </c>
      <c r="F36" s="47">
        <v>50</v>
      </c>
      <c r="G36" s="65">
        <f t="shared" ref="G36" si="25">SUM(D36:F36)</f>
        <v>8520</v>
      </c>
      <c r="H36" s="47">
        <f t="shared" si="15"/>
        <v>1618.8</v>
      </c>
      <c r="I36" s="47">
        <f t="shared" ref="I36" si="26">G36+H36</f>
        <v>10138.799999999999</v>
      </c>
      <c r="J36" s="59">
        <v>12990</v>
      </c>
      <c r="K36" s="55">
        <f t="shared" ref="K36" si="27">J36-I36</f>
        <v>2851.2000000000007</v>
      </c>
      <c r="L36" s="53"/>
      <c r="M36" s="56">
        <f t="shared" ref="M36" si="28">K36/J36</f>
        <v>0.21949191685912245</v>
      </c>
    </row>
    <row r="37" spans="1:14" x14ac:dyDescent="0.3">
      <c r="A37" s="63">
        <v>20</v>
      </c>
      <c r="B37" s="57" t="s">
        <v>87</v>
      </c>
      <c r="C37" s="57">
        <v>1</v>
      </c>
      <c r="D37" s="58">
        <v>5690</v>
      </c>
      <c r="E37" s="47">
        <v>480</v>
      </c>
      <c r="F37" s="47">
        <v>50</v>
      </c>
      <c r="G37" s="65">
        <f t="shared" si="0"/>
        <v>6220</v>
      </c>
      <c r="H37" s="47">
        <f t="shared" si="15"/>
        <v>1181.8</v>
      </c>
      <c r="I37" s="47">
        <f t="shared" si="16"/>
        <v>7401.8</v>
      </c>
      <c r="J37" s="50">
        <v>9690</v>
      </c>
      <c r="K37" s="48">
        <f t="shared" si="3"/>
        <v>2288.1999999999998</v>
      </c>
      <c r="L37" s="44"/>
      <c r="M37" s="49">
        <f t="shared" si="4"/>
        <v>0.23614035087719296</v>
      </c>
      <c r="N37">
        <v>65</v>
      </c>
    </row>
    <row r="38" spans="1:14" x14ac:dyDescent="0.3">
      <c r="A38" s="63">
        <v>21</v>
      </c>
      <c r="B38" s="57" t="s">
        <v>164</v>
      </c>
      <c r="C38" s="57">
        <v>1</v>
      </c>
      <c r="D38" s="58">
        <v>7990</v>
      </c>
      <c r="E38" s="47">
        <v>480</v>
      </c>
      <c r="F38" s="47">
        <v>50</v>
      </c>
      <c r="G38" s="65">
        <f t="shared" si="0"/>
        <v>8520</v>
      </c>
      <c r="H38" s="47">
        <f t="shared" si="15"/>
        <v>1618.8</v>
      </c>
      <c r="I38" s="47">
        <f t="shared" si="16"/>
        <v>10138.799999999999</v>
      </c>
      <c r="J38" s="50">
        <v>12890</v>
      </c>
      <c r="K38" s="48">
        <f t="shared" si="3"/>
        <v>2751.2000000000007</v>
      </c>
      <c r="L38" s="44"/>
      <c r="M38" s="49">
        <f t="shared" si="4"/>
        <v>0.21343677269200936</v>
      </c>
    </row>
    <row r="39" spans="1:14" x14ac:dyDescent="0.3">
      <c r="A39" s="63"/>
      <c r="B39" s="57" t="s">
        <v>165</v>
      </c>
      <c r="C39" s="57">
        <v>1</v>
      </c>
      <c r="D39" s="58">
        <v>7990</v>
      </c>
      <c r="E39" s="47">
        <v>480</v>
      </c>
      <c r="F39" s="47">
        <v>50</v>
      </c>
      <c r="G39" s="65">
        <f t="shared" ref="G39" si="29">SUM(D39:F39)</f>
        <v>8520</v>
      </c>
      <c r="H39" s="47">
        <f t="shared" si="15"/>
        <v>1618.8</v>
      </c>
      <c r="I39" s="47">
        <f t="shared" ref="I39" si="30">G39+H39</f>
        <v>10138.799999999999</v>
      </c>
      <c r="J39" s="50">
        <v>12890</v>
      </c>
      <c r="K39" s="48">
        <f t="shared" ref="K39" si="31">J39-I39</f>
        <v>2751.2000000000007</v>
      </c>
      <c r="L39" s="44"/>
      <c r="M39" s="49">
        <f t="shared" ref="M39" si="32">K39/J39</f>
        <v>0.21343677269200936</v>
      </c>
    </row>
    <row r="40" spans="1:14" x14ac:dyDescent="0.3">
      <c r="A40" s="63">
        <v>22</v>
      </c>
      <c r="B40" s="57" t="s">
        <v>88</v>
      </c>
      <c r="C40" s="57">
        <v>1</v>
      </c>
      <c r="D40" s="58">
        <v>6290</v>
      </c>
      <c r="E40" s="47">
        <v>480</v>
      </c>
      <c r="F40" s="47">
        <v>50</v>
      </c>
      <c r="G40" s="65">
        <f t="shared" si="0"/>
        <v>6820</v>
      </c>
      <c r="H40" s="47">
        <f t="shared" si="15"/>
        <v>1295.8</v>
      </c>
      <c r="I40" s="47">
        <f t="shared" si="16"/>
        <v>8115.8</v>
      </c>
      <c r="J40" s="50">
        <v>10390</v>
      </c>
      <c r="K40" s="48">
        <f t="shared" si="3"/>
        <v>2274.1999999999998</v>
      </c>
      <c r="L40" s="44"/>
      <c r="M40" s="49">
        <f>K40/J40</f>
        <v>0.21888354186717995</v>
      </c>
    </row>
    <row r="41" spans="1:14" x14ac:dyDescent="0.3">
      <c r="A41" s="63">
        <v>23</v>
      </c>
      <c r="B41" s="57" t="s">
        <v>112</v>
      </c>
      <c r="C41" s="57">
        <v>1</v>
      </c>
      <c r="D41" s="58">
        <v>5390</v>
      </c>
      <c r="E41" s="47">
        <v>480</v>
      </c>
      <c r="F41" s="47">
        <v>50</v>
      </c>
      <c r="G41" s="65">
        <f t="shared" si="0"/>
        <v>5920</v>
      </c>
      <c r="H41" s="47">
        <f t="shared" si="15"/>
        <v>1124.8</v>
      </c>
      <c r="I41" s="47">
        <f t="shared" si="16"/>
        <v>7044.8</v>
      </c>
      <c r="J41" s="50">
        <v>9990</v>
      </c>
      <c r="K41" s="48">
        <f t="shared" si="3"/>
        <v>2945.2</v>
      </c>
      <c r="L41" s="44"/>
      <c r="M41" s="49">
        <f t="shared" si="4"/>
        <v>0.29481481481481481</v>
      </c>
    </row>
    <row r="42" spans="1:14" x14ac:dyDescent="0.3">
      <c r="A42" s="63">
        <v>24</v>
      </c>
      <c r="B42" s="57" t="s">
        <v>95</v>
      </c>
      <c r="C42" s="57">
        <v>1</v>
      </c>
      <c r="D42" s="58"/>
      <c r="E42" s="47">
        <v>480</v>
      </c>
      <c r="F42" s="47">
        <v>50</v>
      </c>
      <c r="G42" s="65">
        <f t="shared" si="0"/>
        <v>530</v>
      </c>
      <c r="H42" s="47">
        <f t="shared" si="15"/>
        <v>100.7</v>
      </c>
      <c r="I42" s="47">
        <f t="shared" si="16"/>
        <v>630.70000000000005</v>
      </c>
      <c r="J42" s="50">
        <v>4390</v>
      </c>
      <c r="K42" s="48">
        <f t="shared" si="3"/>
        <v>3759.3</v>
      </c>
      <c r="L42" s="44"/>
      <c r="M42" s="49"/>
    </row>
    <row r="43" spans="1:14" x14ac:dyDescent="0.3">
      <c r="A43" s="63">
        <v>25</v>
      </c>
      <c r="B43" s="57" t="s">
        <v>96</v>
      </c>
      <c r="C43" s="57">
        <v>1</v>
      </c>
      <c r="D43" s="58">
        <v>1890</v>
      </c>
      <c r="E43" s="47">
        <v>480</v>
      </c>
      <c r="F43" s="47">
        <v>50</v>
      </c>
      <c r="G43" s="65">
        <f t="shared" si="0"/>
        <v>2420</v>
      </c>
      <c r="H43" s="47">
        <f t="shared" si="15"/>
        <v>459.8</v>
      </c>
      <c r="I43" s="47">
        <f t="shared" si="16"/>
        <v>2879.8</v>
      </c>
      <c r="J43" s="50">
        <v>3990</v>
      </c>
      <c r="K43" s="48">
        <f t="shared" si="3"/>
        <v>1110.1999999999998</v>
      </c>
      <c r="L43" s="44"/>
      <c r="M43" s="49">
        <f t="shared" si="4"/>
        <v>0.27824561403508768</v>
      </c>
    </row>
    <row r="44" spans="1:14" x14ac:dyDescent="0.3">
      <c r="A44" s="63">
        <v>26</v>
      </c>
      <c r="B44" s="57" t="s">
        <v>82</v>
      </c>
      <c r="C44" s="57">
        <v>1</v>
      </c>
      <c r="D44" s="58">
        <v>6990</v>
      </c>
      <c r="E44" s="47">
        <v>480</v>
      </c>
      <c r="F44" s="47">
        <v>50</v>
      </c>
      <c r="G44" s="65">
        <f t="shared" si="0"/>
        <v>7520</v>
      </c>
      <c r="H44" s="47">
        <f t="shared" si="15"/>
        <v>1428.8</v>
      </c>
      <c r="I44" s="47">
        <f t="shared" si="16"/>
        <v>8948.7999999999993</v>
      </c>
      <c r="J44" s="59">
        <v>12390</v>
      </c>
      <c r="K44" s="55">
        <f t="shared" si="3"/>
        <v>3441.2000000000007</v>
      </c>
      <c r="L44" s="53"/>
      <c r="M44" s="56">
        <f t="shared" si="4"/>
        <v>0.27774011299435036</v>
      </c>
    </row>
    <row r="45" spans="1:14" x14ac:dyDescent="0.3">
      <c r="A45" s="63">
        <v>27</v>
      </c>
      <c r="B45" s="57" t="s">
        <v>102</v>
      </c>
      <c r="C45" s="57">
        <v>1</v>
      </c>
      <c r="D45" s="58">
        <v>1890</v>
      </c>
      <c r="E45" s="47">
        <v>480</v>
      </c>
      <c r="F45" s="47">
        <v>50</v>
      </c>
      <c r="G45" s="65">
        <f t="shared" si="0"/>
        <v>2420</v>
      </c>
      <c r="H45" s="47">
        <f t="shared" si="15"/>
        <v>459.8</v>
      </c>
      <c r="I45" s="47">
        <f t="shared" si="16"/>
        <v>2879.8</v>
      </c>
      <c r="J45" s="50">
        <v>3990</v>
      </c>
      <c r="K45" s="48">
        <f t="shared" si="3"/>
        <v>1110.1999999999998</v>
      </c>
      <c r="L45" s="44"/>
      <c r="M45" s="49">
        <f t="shared" si="4"/>
        <v>0.27824561403508768</v>
      </c>
    </row>
    <row r="46" spans="1:14" x14ac:dyDescent="0.3">
      <c r="A46" s="63">
        <v>28</v>
      </c>
      <c r="B46" s="57" t="s">
        <v>103</v>
      </c>
      <c r="C46" s="57"/>
      <c r="D46" s="58">
        <v>14000</v>
      </c>
      <c r="E46" s="47">
        <v>480</v>
      </c>
      <c r="F46" s="47">
        <v>50</v>
      </c>
      <c r="G46" s="65">
        <f t="shared" si="0"/>
        <v>14530</v>
      </c>
      <c r="H46" s="47">
        <f t="shared" si="15"/>
        <v>2760.7</v>
      </c>
      <c r="I46" s="47">
        <f t="shared" si="16"/>
        <v>17290.7</v>
      </c>
      <c r="J46" s="59">
        <v>19890</v>
      </c>
      <c r="K46" s="55">
        <f t="shared" si="3"/>
        <v>2599.2999999999993</v>
      </c>
      <c r="L46" s="53"/>
      <c r="M46" s="56">
        <f t="shared" si="4"/>
        <v>0.13068376068376064</v>
      </c>
    </row>
    <row r="47" spans="1:14" x14ac:dyDescent="0.3">
      <c r="A47" s="63">
        <v>29</v>
      </c>
      <c r="B47" s="57" t="s">
        <v>47</v>
      </c>
      <c r="C47" s="57">
        <v>1</v>
      </c>
      <c r="D47" s="58"/>
      <c r="E47" s="47">
        <v>480</v>
      </c>
      <c r="F47" s="47">
        <v>50</v>
      </c>
      <c r="G47" s="65">
        <f t="shared" si="0"/>
        <v>530</v>
      </c>
      <c r="H47" s="47">
        <f t="shared" si="15"/>
        <v>100.7</v>
      </c>
      <c r="I47" s="47">
        <f t="shared" si="16"/>
        <v>630.70000000000005</v>
      </c>
      <c r="J47" s="50">
        <v>4390</v>
      </c>
      <c r="K47" s="48">
        <f t="shared" si="3"/>
        <v>3759.3</v>
      </c>
      <c r="L47" s="44"/>
      <c r="M47" s="49"/>
    </row>
    <row r="48" spans="1:14" ht="10.8" customHeight="1" x14ac:dyDescent="0.3">
      <c r="A48" s="64"/>
      <c r="B48" s="60"/>
      <c r="C48" s="60"/>
      <c r="D48" s="61"/>
      <c r="E48" s="47">
        <v>480</v>
      </c>
      <c r="F48" s="54"/>
      <c r="G48" s="66"/>
      <c r="H48" s="54"/>
      <c r="I48" s="54"/>
      <c r="J48" s="59"/>
      <c r="K48" s="55"/>
      <c r="L48" s="53"/>
      <c r="M48" s="56"/>
    </row>
    <row r="49" spans="1:13" x14ac:dyDescent="0.3">
      <c r="A49" s="63">
        <v>1</v>
      </c>
      <c r="B49" s="53" t="s">
        <v>74</v>
      </c>
      <c r="C49" s="44">
        <v>1</v>
      </c>
      <c r="D49" s="47">
        <v>2500</v>
      </c>
      <c r="E49" s="47">
        <v>480</v>
      </c>
      <c r="F49" s="47">
        <v>50</v>
      </c>
      <c r="G49" s="65">
        <f t="shared" si="0"/>
        <v>3030</v>
      </c>
      <c r="H49" s="47">
        <f t="shared" ref="H49:H76" si="33">G49*0.24</f>
        <v>727.19999999999993</v>
      </c>
      <c r="I49" s="47">
        <f t="shared" si="16"/>
        <v>3757.2</v>
      </c>
      <c r="J49" s="50">
        <v>4990</v>
      </c>
      <c r="K49" s="48">
        <f t="shared" si="3"/>
        <v>1232.8000000000002</v>
      </c>
      <c r="L49" s="44"/>
      <c r="M49" s="49">
        <f t="shared" si="4"/>
        <v>0.24705410821643289</v>
      </c>
    </row>
    <row r="50" spans="1:13" x14ac:dyDescent="0.3">
      <c r="A50" s="63">
        <v>2</v>
      </c>
      <c r="B50" s="44" t="s">
        <v>67</v>
      </c>
      <c r="C50" s="44">
        <v>1</v>
      </c>
      <c r="D50" s="47">
        <v>2450</v>
      </c>
      <c r="E50" s="47">
        <v>480</v>
      </c>
      <c r="F50" s="47">
        <v>50</v>
      </c>
      <c r="G50" s="65">
        <f t="shared" si="0"/>
        <v>2980</v>
      </c>
      <c r="H50" s="47">
        <f t="shared" si="33"/>
        <v>715.19999999999993</v>
      </c>
      <c r="I50" s="47">
        <f t="shared" si="16"/>
        <v>3695.2</v>
      </c>
      <c r="J50" s="48">
        <v>5790</v>
      </c>
      <c r="K50" s="48">
        <f t="shared" si="3"/>
        <v>2094.8000000000002</v>
      </c>
      <c r="L50" s="44"/>
      <c r="M50" s="49">
        <f t="shared" si="4"/>
        <v>0.3617962003454232</v>
      </c>
    </row>
    <row r="51" spans="1:13" x14ac:dyDescent="0.3">
      <c r="A51" s="63">
        <v>3</v>
      </c>
      <c r="B51" s="44" t="s">
        <v>101</v>
      </c>
      <c r="C51" s="44">
        <v>1</v>
      </c>
      <c r="D51" s="47">
        <v>3990</v>
      </c>
      <c r="E51" s="47">
        <v>480</v>
      </c>
      <c r="F51" s="47">
        <v>50</v>
      </c>
      <c r="G51" s="65">
        <f t="shared" si="0"/>
        <v>4520</v>
      </c>
      <c r="H51" s="47">
        <f t="shared" si="33"/>
        <v>1084.8</v>
      </c>
      <c r="I51" s="47">
        <f t="shared" si="16"/>
        <v>5604.8</v>
      </c>
      <c r="J51" s="48">
        <v>8690</v>
      </c>
      <c r="K51" s="48">
        <f t="shared" si="3"/>
        <v>3085.2</v>
      </c>
      <c r="L51" s="44"/>
      <c r="M51" s="49">
        <f t="shared" si="4"/>
        <v>0.35502876869965477</v>
      </c>
    </row>
    <row r="52" spans="1:13" x14ac:dyDescent="0.3">
      <c r="A52" s="63">
        <v>4</v>
      </c>
      <c r="B52" s="44" t="s">
        <v>78</v>
      </c>
      <c r="C52" s="44">
        <v>1</v>
      </c>
      <c r="D52" s="47">
        <v>3250</v>
      </c>
      <c r="E52" s="47">
        <v>480</v>
      </c>
      <c r="F52" s="47">
        <v>50</v>
      </c>
      <c r="G52" s="65">
        <f t="shared" si="0"/>
        <v>3780</v>
      </c>
      <c r="H52" s="47">
        <f>G52*0.19</f>
        <v>718.2</v>
      </c>
      <c r="I52" s="47">
        <f t="shared" si="16"/>
        <v>4498.2</v>
      </c>
      <c r="J52" s="55">
        <v>6490</v>
      </c>
      <c r="K52" s="48">
        <f t="shared" si="3"/>
        <v>1991.8000000000002</v>
      </c>
      <c r="L52" s="44"/>
      <c r="M52" s="49">
        <f t="shared" si="4"/>
        <v>0.30690292758089371</v>
      </c>
    </row>
    <row r="53" spans="1:13" x14ac:dyDescent="0.3">
      <c r="A53" s="63">
        <v>5</v>
      </c>
      <c r="B53" s="53" t="s">
        <v>169</v>
      </c>
      <c r="C53" s="44">
        <v>1</v>
      </c>
      <c r="D53" s="47">
        <v>4900</v>
      </c>
      <c r="E53" s="47">
        <v>480</v>
      </c>
      <c r="F53" s="47">
        <v>50</v>
      </c>
      <c r="G53" s="65">
        <f t="shared" si="0"/>
        <v>5430</v>
      </c>
      <c r="H53" s="47">
        <f t="shared" si="33"/>
        <v>1303.2</v>
      </c>
      <c r="I53" s="47">
        <f t="shared" si="16"/>
        <v>6733.2</v>
      </c>
      <c r="J53" s="48">
        <v>8690</v>
      </c>
      <c r="K53" s="48">
        <f t="shared" si="3"/>
        <v>1956.8000000000002</v>
      </c>
      <c r="L53" s="44"/>
      <c r="M53" s="49">
        <f t="shared" si="4"/>
        <v>0.22517836593785964</v>
      </c>
    </row>
    <row r="54" spans="1:13" x14ac:dyDescent="0.3">
      <c r="A54" s="63">
        <v>6</v>
      </c>
      <c r="B54" s="53" t="s">
        <v>168</v>
      </c>
      <c r="C54" s="44"/>
      <c r="D54" s="47">
        <v>4900</v>
      </c>
      <c r="E54" s="47">
        <v>480</v>
      </c>
      <c r="F54" s="47">
        <v>50</v>
      </c>
      <c r="G54" s="65">
        <f t="shared" ref="G54" si="34">SUM(D54:F54)</f>
        <v>5430</v>
      </c>
      <c r="H54" s="47">
        <f t="shared" ref="H54" si="35">G54*0.24</f>
        <v>1303.2</v>
      </c>
      <c r="I54" s="47">
        <f t="shared" ref="I54" si="36">G54+H54</f>
        <v>6733.2</v>
      </c>
      <c r="J54" s="55">
        <v>8990</v>
      </c>
      <c r="K54" s="48">
        <f t="shared" ref="K54" si="37">J54-I54</f>
        <v>2256.8000000000002</v>
      </c>
      <c r="L54" s="44"/>
      <c r="M54" s="49">
        <f t="shared" ref="M54" si="38">K54/J54</f>
        <v>0.25103448275862073</v>
      </c>
    </row>
    <row r="55" spans="1:13" x14ac:dyDescent="0.3">
      <c r="A55" s="63">
        <v>7</v>
      </c>
      <c r="B55" s="44" t="s">
        <v>28</v>
      </c>
      <c r="C55" s="44"/>
      <c r="D55" s="47">
        <v>2990</v>
      </c>
      <c r="E55" s="47">
        <v>480</v>
      </c>
      <c r="F55" s="47">
        <v>50</v>
      </c>
      <c r="G55" s="65">
        <f t="shared" si="0"/>
        <v>3520</v>
      </c>
      <c r="H55" s="47">
        <f t="shared" si="33"/>
        <v>844.8</v>
      </c>
      <c r="I55" s="47">
        <f t="shared" si="16"/>
        <v>4364.8</v>
      </c>
      <c r="J55" s="48">
        <v>5390</v>
      </c>
      <c r="K55" s="48">
        <f t="shared" si="3"/>
        <v>1025.1999999999998</v>
      </c>
      <c r="L55" s="44"/>
      <c r="M55" s="49">
        <f t="shared" si="4"/>
        <v>0.19020408163265304</v>
      </c>
    </row>
    <row r="56" spans="1:13" x14ac:dyDescent="0.3">
      <c r="A56" s="63">
        <v>8</v>
      </c>
      <c r="B56" s="44" t="s">
        <v>98</v>
      </c>
      <c r="C56" s="44"/>
      <c r="D56" s="47"/>
      <c r="E56" s="47">
        <v>480</v>
      </c>
      <c r="F56" s="47">
        <v>50</v>
      </c>
      <c r="G56" s="65">
        <f t="shared" si="0"/>
        <v>530</v>
      </c>
      <c r="H56" s="47">
        <f t="shared" si="33"/>
        <v>127.19999999999999</v>
      </c>
      <c r="I56" s="47">
        <f t="shared" ref="I56:I76" si="39">G56+H56</f>
        <v>657.2</v>
      </c>
      <c r="J56" s="48">
        <v>3490</v>
      </c>
      <c r="K56" s="48">
        <f t="shared" si="3"/>
        <v>2832.8</v>
      </c>
      <c r="L56" s="44"/>
      <c r="M56" s="49"/>
    </row>
    <row r="57" spans="1:13" x14ac:dyDescent="0.3">
      <c r="A57" s="63">
        <v>9</v>
      </c>
      <c r="B57" s="44" t="s">
        <v>99</v>
      </c>
      <c r="C57" s="44">
        <v>1</v>
      </c>
      <c r="D57" s="47">
        <v>3529</v>
      </c>
      <c r="E57" s="47">
        <v>480</v>
      </c>
      <c r="F57" s="47">
        <v>50</v>
      </c>
      <c r="G57" s="65">
        <f t="shared" si="0"/>
        <v>4059</v>
      </c>
      <c r="H57" s="47">
        <f t="shared" si="33"/>
        <v>974.16</v>
      </c>
      <c r="I57" s="47">
        <f>G57+H57</f>
        <v>5033.16</v>
      </c>
      <c r="J57" s="48">
        <v>6290</v>
      </c>
      <c r="K57" s="48">
        <f t="shared" si="3"/>
        <v>1256.8400000000001</v>
      </c>
      <c r="L57" s="44"/>
      <c r="M57" s="49">
        <f t="shared" si="4"/>
        <v>0.19981558028616855</v>
      </c>
    </row>
    <row r="58" spans="1:13" x14ac:dyDescent="0.3">
      <c r="A58" s="63">
        <v>10</v>
      </c>
      <c r="B58" s="44" t="s">
        <v>120</v>
      </c>
      <c r="C58" s="44"/>
      <c r="D58" s="47">
        <v>3900</v>
      </c>
      <c r="E58" s="47">
        <v>480</v>
      </c>
      <c r="F58" s="47">
        <v>50</v>
      </c>
      <c r="G58" s="65">
        <f t="shared" si="0"/>
        <v>4430</v>
      </c>
      <c r="H58" s="47">
        <f t="shared" si="33"/>
        <v>1063.2</v>
      </c>
      <c r="I58" s="47">
        <f t="shared" si="39"/>
        <v>5493.2</v>
      </c>
      <c r="J58" s="48">
        <v>6990</v>
      </c>
      <c r="K58" s="48">
        <f t="shared" si="3"/>
        <v>1496.8000000000002</v>
      </c>
      <c r="L58" s="44"/>
      <c r="M58" s="49">
        <f t="shared" si="4"/>
        <v>0.21413447782546496</v>
      </c>
    </row>
    <row r="59" spans="1:13" x14ac:dyDescent="0.3">
      <c r="A59" s="63">
        <v>11</v>
      </c>
      <c r="B59" s="44" t="s">
        <v>110</v>
      </c>
      <c r="C59" s="44">
        <v>1</v>
      </c>
      <c r="D59" s="47">
        <v>2824</v>
      </c>
      <c r="E59" s="47">
        <v>480</v>
      </c>
      <c r="F59" s="47">
        <v>50</v>
      </c>
      <c r="G59" s="65">
        <f t="shared" ref="G59" si="40">SUM(D59:F59)</f>
        <v>3354</v>
      </c>
      <c r="H59" s="47">
        <f>G59*0.19</f>
        <v>637.26</v>
      </c>
      <c r="I59" s="47">
        <f t="shared" ref="I59" si="41">G59+H59</f>
        <v>3991.26</v>
      </c>
      <c r="J59" s="48">
        <v>4770</v>
      </c>
      <c r="K59" s="48">
        <f t="shared" ref="K59" si="42">J59-I59</f>
        <v>778.73999999999978</v>
      </c>
      <c r="L59" s="44"/>
      <c r="M59" s="49">
        <f t="shared" ref="M59" si="43">K59/J59</f>
        <v>0.16325786163522008</v>
      </c>
    </row>
    <row r="60" spans="1:13" x14ac:dyDescent="0.3">
      <c r="A60" s="63">
        <v>12</v>
      </c>
      <c r="B60" s="44" t="s">
        <v>159</v>
      </c>
      <c r="C60" s="44">
        <v>1</v>
      </c>
      <c r="D60" s="47">
        <v>1099</v>
      </c>
      <c r="E60" s="47">
        <v>480</v>
      </c>
      <c r="F60" s="47">
        <v>50</v>
      </c>
      <c r="G60" s="65">
        <f t="shared" si="0"/>
        <v>1629</v>
      </c>
      <c r="H60" s="47">
        <f>G60*0.19</f>
        <v>309.51</v>
      </c>
      <c r="I60" s="47">
        <f t="shared" si="39"/>
        <v>1938.51</v>
      </c>
      <c r="J60" s="48">
        <v>2990</v>
      </c>
      <c r="K60" s="48">
        <f t="shared" si="3"/>
        <v>1051.49</v>
      </c>
      <c r="L60" s="44"/>
      <c r="M60" s="49">
        <f t="shared" si="4"/>
        <v>0.35166889632107023</v>
      </c>
    </row>
    <row r="61" spans="1:13" ht="10.199999999999999" customHeight="1" x14ac:dyDescent="0.3">
      <c r="A61" s="64"/>
      <c r="B61" s="53"/>
      <c r="C61" s="53"/>
      <c r="D61" s="54"/>
      <c r="E61" s="47">
        <v>480</v>
      </c>
      <c r="F61" s="54"/>
      <c r="G61" s="66"/>
      <c r="H61" s="54"/>
      <c r="I61" s="54"/>
      <c r="J61" s="55"/>
      <c r="K61" s="55"/>
      <c r="L61" s="53"/>
      <c r="M61" s="56"/>
    </row>
    <row r="62" spans="1:13" x14ac:dyDescent="0.3">
      <c r="A62" s="63">
        <v>1</v>
      </c>
      <c r="B62" s="57" t="s">
        <v>68</v>
      </c>
      <c r="C62" s="57">
        <v>1</v>
      </c>
      <c r="D62" s="58">
        <v>4515</v>
      </c>
      <c r="E62" s="47">
        <v>480</v>
      </c>
      <c r="F62" s="47">
        <v>50</v>
      </c>
      <c r="G62" s="65">
        <f t="shared" si="0"/>
        <v>5045</v>
      </c>
      <c r="H62" s="47">
        <f t="shared" si="33"/>
        <v>1210.8</v>
      </c>
      <c r="I62" s="47">
        <f t="shared" si="39"/>
        <v>6255.8</v>
      </c>
      <c r="J62" s="50">
        <v>8290</v>
      </c>
      <c r="K62" s="48">
        <f t="shared" si="3"/>
        <v>2034.1999999999998</v>
      </c>
      <c r="L62" s="44"/>
      <c r="M62" s="49">
        <f t="shared" si="4"/>
        <v>0.24537997587454763</v>
      </c>
    </row>
    <row r="63" spans="1:13" x14ac:dyDescent="0.3">
      <c r="A63" s="63">
        <v>2</v>
      </c>
      <c r="B63" s="57" t="s">
        <v>72</v>
      </c>
      <c r="C63" s="57"/>
      <c r="D63" s="58"/>
      <c r="E63" s="47">
        <v>480</v>
      </c>
      <c r="F63" s="47">
        <v>50</v>
      </c>
      <c r="G63" s="65">
        <f t="shared" si="0"/>
        <v>530</v>
      </c>
      <c r="H63" s="47">
        <f t="shared" si="33"/>
        <v>127.19999999999999</v>
      </c>
      <c r="I63" s="47">
        <f t="shared" si="39"/>
        <v>657.2</v>
      </c>
      <c r="J63" s="50">
        <v>8790</v>
      </c>
      <c r="K63" s="48">
        <f t="shared" si="3"/>
        <v>8132.8</v>
      </c>
      <c r="L63" s="44"/>
      <c r="M63" s="49"/>
    </row>
    <row r="64" spans="1:13" x14ac:dyDescent="0.3">
      <c r="A64" s="63">
        <v>3</v>
      </c>
      <c r="B64" s="57" t="s">
        <v>89</v>
      </c>
      <c r="C64" s="57"/>
      <c r="D64" s="58"/>
      <c r="E64" s="47">
        <v>480</v>
      </c>
      <c r="F64" s="47">
        <v>50</v>
      </c>
      <c r="G64" s="65">
        <f t="shared" si="0"/>
        <v>530</v>
      </c>
      <c r="H64" s="47">
        <f t="shared" si="33"/>
        <v>127.19999999999999</v>
      </c>
      <c r="I64" s="47">
        <f t="shared" si="39"/>
        <v>657.2</v>
      </c>
      <c r="J64" s="50">
        <v>3900</v>
      </c>
      <c r="K64" s="48">
        <f t="shared" si="3"/>
        <v>3242.8</v>
      </c>
      <c r="L64" s="44"/>
      <c r="M64" s="49"/>
    </row>
    <row r="65" spans="1:13" x14ac:dyDescent="0.3">
      <c r="A65" s="63">
        <v>4</v>
      </c>
      <c r="B65" s="57" t="s">
        <v>91</v>
      </c>
      <c r="C65" s="57"/>
      <c r="D65" s="58"/>
      <c r="E65" s="47">
        <v>480</v>
      </c>
      <c r="F65" s="47">
        <v>50</v>
      </c>
      <c r="G65" s="65">
        <f t="shared" si="0"/>
        <v>530</v>
      </c>
      <c r="H65" s="47">
        <f t="shared" si="33"/>
        <v>127.19999999999999</v>
      </c>
      <c r="I65" s="47">
        <f t="shared" si="39"/>
        <v>657.2</v>
      </c>
      <c r="J65" s="50">
        <v>1690</v>
      </c>
      <c r="K65" s="48">
        <f t="shared" si="3"/>
        <v>1032.8</v>
      </c>
      <c r="L65" s="44"/>
      <c r="M65" s="49"/>
    </row>
    <row r="66" spans="1:13" x14ac:dyDescent="0.3">
      <c r="A66" s="63">
        <v>5</v>
      </c>
      <c r="B66" s="57" t="s">
        <v>90</v>
      </c>
      <c r="C66" s="57"/>
      <c r="D66" s="58"/>
      <c r="E66" s="47">
        <v>480</v>
      </c>
      <c r="F66" s="47">
        <v>50</v>
      </c>
      <c r="G66" s="65">
        <f t="shared" si="0"/>
        <v>530</v>
      </c>
      <c r="H66" s="47">
        <f t="shared" si="33"/>
        <v>127.19999999999999</v>
      </c>
      <c r="I66" s="47">
        <f t="shared" si="39"/>
        <v>657.2</v>
      </c>
      <c r="J66" s="50">
        <v>4490</v>
      </c>
      <c r="K66" s="48">
        <f t="shared" si="3"/>
        <v>3832.8</v>
      </c>
      <c r="L66" s="44"/>
      <c r="M66" s="49"/>
    </row>
    <row r="67" spans="1:13" x14ac:dyDescent="0.3">
      <c r="A67" s="63">
        <v>6</v>
      </c>
      <c r="B67" s="57" t="s">
        <v>92</v>
      </c>
      <c r="C67" s="57"/>
      <c r="D67" s="58"/>
      <c r="E67" s="47">
        <v>480</v>
      </c>
      <c r="F67" s="47">
        <v>50</v>
      </c>
      <c r="G67" s="65">
        <f t="shared" si="0"/>
        <v>530</v>
      </c>
      <c r="H67" s="47">
        <f t="shared" si="33"/>
        <v>127.19999999999999</v>
      </c>
      <c r="I67" s="47">
        <f t="shared" si="39"/>
        <v>657.2</v>
      </c>
      <c r="J67" s="50">
        <v>3990</v>
      </c>
      <c r="K67" s="48">
        <f t="shared" si="3"/>
        <v>3332.8</v>
      </c>
      <c r="L67" s="44"/>
      <c r="M67" s="49"/>
    </row>
    <row r="68" spans="1:13" x14ac:dyDescent="0.3">
      <c r="A68" s="63">
        <v>7</v>
      </c>
      <c r="B68" s="57" t="s">
        <v>93</v>
      </c>
      <c r="C68" s="57"/>
      <c r="D68" s="58"/>
      <c r="E68" s="47">
        <v>480</v>
      </c>
      <c r="F68" s="47">
        <v>50</v>
      </c>
      <c r="G68" s="65">
        <f t="shared" si="0"/>
        <v>530</v>
      </c>
      <c r="H68" s="47">
        <f t="shared" si="33"/>
        <v>127.19999999999999</v>
      </c>
      <c r="I68" s="47">
        <f t="shared" si="39"/>
        <v>657.2</v>
      </c>
      <c r="J68" s="50">
        <v>3290</v>
      </c>
      <c r="K68" s="48">
        <f t="shared" si="3"/>
        <v>2632.8</v>
      </c>
      <c r="L68" s="44"/>
      <c r="M68" s="49"/>
    </row>
    <row r="69" spans="1:13" x14ac:dyDescent="0.3">
      <c r="A69" s="63">
        <v>8</v>
      </c>
      <c r="B69" s="57" t="s">
        <v>94</v>
      </c>
      <c r="C69" s="57"/>
      <c r="D69" s="58"/>
      <c r="E69" s="47">
        <v>480</v>
      </c>
      <c r="F69" s="47">
        <v>50</v>
      </c>
      <c r="G69" s="65">
        <f t="shared" si="0"/>
        <v>530</v>
      </c>
      <c r="H69" s="47">
        <f t="shared" si="33"/>
        <v>127.19999999999999</v>
      </c>
      <c r="I69" s="47">
        <f t="shared" si="39"/>
        <v>657.2</v>
      </c>
      <c r="J69" s="50">
        <v>1130</v>
      </c>
      <c r="K69" s="48">
        <f t="shared" si="3"/>
        <v>472.79999999999995</v>
      </c>
      <c r="L69" s="44"/>
      <c r="M69" s="49"/>
    </row>
    <row r="70" spans="1:13" x14ac:dyDescent="0.3">
      <c r="A70" s="63">
        <v>9</v>
      </c>
      <c r="B70" s="57" t="s">
        <v>104</v>
      </c>
      <c r="C70" s="57"/>
      <c r="D70" s="58"/>
      <c r="E70" s="47">
        <v>480</v>
      </c>
      <c r="F70" s="47">
        <v>50</v>
      </c>
      <c r="G70" s="65">
        <f t="shared" si="0"/>
        <v>530</v>
      </c>
      <c r="H70" s="47">
        <f t="shared" si="33"/>
        <v>127.19999999999999</v>
      </c>
      <c r="I70" s="47">
        <f t="shared" si="39"/>
        <v>657.2</v>
      </c>
      <c r="J70" s="50">
        <v>1590</v>
      </c>
      <c r="K70" s="48">
        <f t="shared" si="3"/>
        <v>932.8</v>
      </c>
      <c r="L70" s="44"/>
      <c r="M70" s="49"/>
    </row>
    <row r="71" spans="1:13" x14ac:dyDescent="0.3">
      <c r="A71" s="63">
        <v>10</v>
      </c>
      <c r="B71" s="57" t="s">
        <v>83</v>
      </c>
      <c r="C71" s="57"/>
      <c r="D71" s="58"/>
      <c r="E71" s="47">
        <v>480</v>
      </c>
      <c r="F71" s="47">
        <v>50</v>
      </c>
      <c r="G71" s="65">
        <f t="shared" si="0"/>
        <v>530</v>
      </c>
      <c r="H71" s="47">
        <f t="shared" si="33"/>
        <v>127.19999999999999</v>
      </c>
      <c r="I71" s="47">
        <f t="shared" si="39"/>
        <v>657.2</v>
      </c>
      <c r="J71" s="50">
        <v>2050</v>
      </c>
      <c r="K71" s="48">
        <f t="shared" si="3"/>
        <v>1392.8</v>
      </c>
      <c r="L71" s="44"/>
      <c r="M71" s="49"/>
    </row>
    <row r="72" spans="1:13" x14ac:dyDescent="0.3">
      <c r="A72" s="63">
        <v>11</v>
      </c>
      <c r="B72" s="57" t="s">
        <v>106</v>
      </c>
      <c r="C72" s="57"/>
      <c r="D72" s="58"/>
      <c r="E72" s="47">
        <v>480</v>
      </c>
      <c r="F72" s="47">
        <v>50</v>
      </c>
      <c r="G72" s="65">
        <f t="shared" si="0"/>
        <v>530</v>
      </c>
      <c r="H72" s="47">
        <f t="shared" si="33"/>
        <v>127.19999999999999</v>
      </c>
      <c r="I72" s="47">
        <f t="shared" si="39"/>
        <v>657.2</v>
      </c>
      <c r="J72" s="50">
        <v>6990</v>
      </c>
      <c r="K72" s="48">
        <f t="shared" si="3"/>
        <v>6332.8</v>
      </c>
      <c r="L72" s="44"/>
      <c r="M72" s="49"/>
    </row>
    <row r="73" spans="1:13" x14ac:dyDescent="0.3">
      <c r="A73" s="63">
        <v>12</v>
      </c>
      <c r="B73" s="57" t="s">
        <v>105</v>
      </c>
      <c r="C73" s="57"/>
      <c r="D73" s="58"/>
      <c r="E73" s="47">
        <v>480</v>
      </c>
      <c r="F73" s="47">
        <v>50</v>
      </c>
      <c r="G73" s="65">
        <f t="shared" si="0"/>
        <v>530</v>
      </c>
      <c r="H73" s="47">
        <f t="shared" si="33"/>
        <v>127.19999999999999</v>
      </c>
      <c r="I73" s="47">
        <f t="shared" si="39"/>
        <v>657.2</v>
      </c>
      <c r="J73" s="50">
        <v>8990</v>
      </c>
      <c r="K73" s="48">
        <f t="shared" si="3"/>
        <v>8332.7999999999993</v>
      </c>
      <c r="L73" s="44"/>
      <c r="M73" s="49"/>
    </row>
    <row r="74" spans="1:13" x14ac:dyDescent="0.3">
      <c r="A74" s="63">
        <v>13</v>
      </c>
      <c r="B74" s="57" t="s">
        <v>73</v>
      </c>
      <c r="C74" s="57">
        <v>1</v>
      </c>
      <c r="D74" s="58">
        <v>2000</v>
      </c>
      <c r="E74" s="47">
        <v>480</v>
      </c>
      <c r="F74" s="47">
        <v>50</v>
      </c>
      <c r="G74" s="65">
        <f t="shared" si="0"/>
        <v>2530</v>
      </c>
      <c r="H74" s="47">
        <f t="shared" si="33"/>
        <v>607.19999999999993</v>
      </c>
      <c r="I74" s="47">
        <f t="shared" si="39"/>
        <v>3137.2</v>
      </c>
      <c r="J74" s="50">
        <v>3300</v>
      </c>
      <c r="K74" s="48">
        <f t="shared" si="3"/>
        <v>162.80000000000018</v>
      </c>
      <c r="L74" s="44"/>
      <c r="M74" s="49">
        <f t="shared" si="4"/>
        <v>4.9333333333333389E-2</v>
      </c>
    </row>
    <row r="75" spans="1:13" x14ac:dyDescent="0.3">
      <c r="A75" s="63">
        <v>14</v>
      </c>
      <c r="B75" s="57" t="s">
        <v>107</v>
      </c>
      <c r="C75" s="57"/>
      <c r="D75" s="58"/>
      <c r="E75" s="47">
        <v>480</v>
      </c>
      <c r="F75" s="47">
        <v>50</v>
      </c>
      <c r="G75" s="65">
        <f t="shared" si="0"/>
        <v>530</v>
      </c>
      <c r="H75" s="47">
        <f t="shared" si="33"/>
        <v>127.19999999999999</v>
      </c>
      <c r="I75" s="47">
        <f t="shared" si="39"/>
        <v>657.2</v>
      </c>
      <c r="J75" s="50">
        <v>3390</v>
      </c>
      <c r="K75" s="48">
        <f t="shared" si="3"/>
        <v>2732.8</v>
      </c>
      <c r="L75" s="44"/>
      <c r="M75" s="49"/>
    </row>
    <row r="76" spans="1:13" x14ac:dyDescent="0.3">
      <c r="A76" s="63">
        <v>15</v>
      </c>
      <c r="B76" s="57" t="s">
        <v>108</v>
      </c>
      <c r="C76" s="57"/>
      <c r="D76" s="58"/>
      <c r="E76" s="47">
        <v>480</v>
      </c>
      <c r="F76" s="47">
        <v>50</v>
      </c>
      <c r="G76" s="65">
        <f t="shared" si="0"/>
        <v>530</v>
      </c>
      <c r="H76" s="47">
        <f t="shared" si="33"/>
        <v>127.19999999999999</v>
      </c>
      <c r="I76" s="47">
        <f t="shared" si="39"/>
        <v>657.2</v>
      </c>
      <c r="J76" s="50">
        <v>2490</v>
      </c>
      <c r="K76" s="48">
        <f t="shared" si="3"/>
        <v>1832.8</v>
      </c>
      <c r="L76" s="44"/>
      <c r="M76" s="49"/>
    </row>
  </sheetData>
  <pageMargins left="0.19685039370078741" right="0.15748031496062992" top="0.35433070866141736" bottom="0.35433070866141736" header="0.31496062992125984" footer="0.31496062992125984"/>
  <pageSetup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51"/>
  <sheetViews>
    <sheetView tabSelected="1" workbookViewId="0">
      <selection activeCell="A7" sqref="A7"/>
    </sheetView>
  </sheetViews>
  <sheetFormatPr baseColWidth="10" defaultRowHeight="14.4" x14ac:dyDescent="0.3"/>
  <cols>
    <col min="1" max="1" width="5.6640625" customWidth="1"/>
    <col min="2" max="2" width="19.21875" customWidth="1"/>
    <col min="3" max="3" width="16" bestFit="1" customWidth="1"/>
    <col min="6" max="6" width="11" customWidth="1"/>
    <col min="7" max="7" width="13.77734375" customWidth="1"/>
  </cols>
  <sheetData>
    <row r="7" spans="1:7" x14ac:dyDescent="0.3">
      <c r="A7" s="92" t="s">
        <v>170</v>
      </c>
      <c r="F7" s="92" t="s">
        <v>172</v>
      </c>
    </row>
    <row r="8" spans="1:7" x14ac:dyDescent="0.3">
      <c r="A8" s="43" t="s">
        <v>171</v>
      </c>
      <c r="B8" s="43" t="s">
        <v>128</v>
      </c>
      <c r="C8" s="43" t="s">
        <v>127</v>
      </c>
      <c r="D8" s="43" t="s">
        <v>129</v>
      </c>
      <c r="F8" s="43" t="s">
        <v>128</v>
      </c>
      <c r="G8" s="43" t="s">
        <v>129</v>
      </c>
    </row>
    <row r="9" spans="1:7" x14ac:dyDescent="0.3">
      <c r="A9" s="43">
        <v>1</v>
      </c>
      <c r="B9" s="93">
        <v>46132</v>
      </c>
      <c r="C9" s="43" t="s">
        <v>130</v>
      </c>
      <c r="D9" s="71"/>
      <c r="F9" s="70">
        <v>46132</v>
      </c>
      <c r="G9" s="71"/>
    </row>
    <row r="10" spans="1:7" x14ac:dyDescent="0.3">
      <c r="A10" s="43">
        <v>2</v>
      </c>
      <c r="B10" s="93">
        <v>46133</v>
      </c>
      <c r="C10" s="43" t="s">
        <v>131</v>
      </c>
      <c r="D10" s="71"/>
      <c r="F10" s="70">
        <v>46133</v>
      </c>
      <c r="G10" s="71"/>
    </row>
    <row r="11" spans="1:7" x14ac:dyDescent="0.3">
      <c r="A11" s="43">
        <v>3</v>
      </c>
      <c r="B11" s="93">
        <v>46133</v>
      </c>
      <c r="C11" s="43" t="s">
        <v>162</v>
      </c>
      <c r="D11" s="71"/>
      <c r="F11" s="70">
        <v>46134</v>
      </c>
      <c r="G11" s="71"/>
    </row>
    <row r="12" spans="1:7" x14ac:dyDescent="0.3">
      <c r="A12" s="43">
        <v>4</v>
      </c>
      <c r="B12" s="93">
        <v>46133</v>
      </c>
      <c r="C12" s="43" t="s">
        <v>162</v>
      </c>
      <c r="D12" s="71"/>
      <c r="F12" s="70">
        <v>46135</v>
      </c>
      <c r="G12" s="71"/>
    </row>
    <row r="13" spans="1:7" x14ac:dyDescent="0.3">
      <c r="A13" s="43">
        <v>5</v>
      </c>
      <c r="B13" s="93">
        <v>46133</v>
      </c>
      <c r="C13" s="43" t="s">
        <v>173</v>
      </c>
      <c r="D13" s="71"/>
      <c r="F13" s="70">
        <v>46136</v>
      </c>
      <c r="G13" s="71"/>
    </row>
    <row r="14" spans="1:7" x14ac:dyDescent="0.3">
      <c r="A14" s="43">
        <v>6</v>
      </c>
      <c r="B14" s="93">
        <v>46134</v>
      </c>
      <c r="C14" s="43" t="s">
        <v>174</v>
      </c>
      <c r="D14" s="71"/>
      <c r="F14" s="70">
        <v>46137</v>
      </c>
      <c r="G14" s="71"/>
    </row>
    <row r="15" spans="1:7" x14ac:dyDescent="0.3">
      <c r="A15" s="43">
        <v>7</v>
      </c>
      <c r="B15" s="93">
        <v>46135</v>
      </c>
      <c r="C15" s="43" t="s">
        <v>130</v>
      </c>
      <c r="D15" s="71"/>
      <c r="F15" s="70">
        <v>46138</v>
      </c>
      <c r="G15" s="71"/>
    </row>
    <row r="16" spans="1:7" x14ac:dyDescent="0.3">
      <c r="A16" s="43">
        <v>8</v>
      </c>
      <c r="B16" s="93">
        <v>46135</v>
      </c>
      <c r="C16" s="43" t="s">
        <v>175</v>
      </c>
      <c r="D16" s="71"/>
      <c r="G16" s="94">
        <f>SUM(G9:G15)</f>
        <v>0</v>
      </c>
    </row>
    <row r="17" spans="1:7" x14ac:dyDescent="0.3">
      <c r="A17" s="43">
        <v>9</v>
      </c>
      <c r="B17" s="93">
        <v>46135</v>
      </c>
      <c r="C17" s="43" t="s">
        <v>130</v>
      </c>
      <c r="D17" s="71"/>
    </row>
    <row r="18" spans="1:7" x14ac:dyDescent="0.3">
      <c r="A18" s="43">
        <v>10</v>
      </c>
      <c r="B18" s="93">
        <v>46136</v>
      </c>
      <c r="C18" s="43" t="s">
        <v>176</v>
      </c>
      <c r="D18" s="71"/>
    </row>
    <row r="19" spans="1:7" x14ac:dyDescent="0.3">
      <c r="A19" s="43">
        <v>11</v>
      </c>
      <c r="B19" s="93">
        <v>46136</v>
      </c>
      <c r="C19" s="43" t="s">
        <v>177</v>
      </c>
      <c r="D19" s="71"/>
    </row>
    <row r="20" spans="1:7" x14ac:dyDescent="0.3">
      <c r="A20" s="43">
        <v>12</v>
      </c>
      <c r="B20" s="93">
        <v>46136</v>
      </c>
      <c r="C20" s="43" t="s">
        <v>131</v>
      </c>
      <c r="D20" s="71"/>
    </row>
    <row r="21" spans="1:7" x14ac:dyDescent="0.3">
      <c r="A21" s="43">
        <v>13</v>
      </c>
      <c r="B21" s="93">
        <v>46136</v>
      </c>
      <c r="C21" s="43" t="s">
        <v>131</v>
      </c>
      <c r="D21" s="71"/>
    </row>
    <row r="22" spans="1:7" ht="16.2" customHeight="1" x14ac:dyDescent="0.3">
      <c r="A22" s="95"/>
      <c r="B22" s="96"/>
      <c r="C22" s="95"/>
      <c r="D22" s="72">
        <f>SUM(D9:D21)</f>
        <v>0</v>
      </c>
      <c r="G22" s="97">
        <f>G16-D22</f>
        <v>0</v>
      </c>
    </row>
    <row r="23" spans="1:7" s="95" customFormat="1" ht="22.8" customHeight="1" x14ac:dyDescent="0.3">
      <c r="B23" s="96"/>
      <c r="D23" s="98"/>
    </row>
    <row r="24" spans="1:7" x14ac:dyDescent="0.3">
      <c r="D24" s="99"/>
    </row>
    <row r="25" spans="1:7" x14ac:dyDescent="0.3">
      <c r="D25" s="99"/>
    </row>
    <row r="26" spans="1:7" x14ac:dyDescent="0.3">
      <c r="D26" s="99"/>
    </row>
    <row r="27" spans="1:7" x14ac:dyDescent="0.3">
      <c r="D27" s="99"/>
    </row>
    <row r="28" spans="1:7" x14ac:dyDescent="0.3">
      <c r="D28" s="99"/>
    </row>
    <row r="29" spans="1:7" x14ac:dyDescent="0.3">
      <c r="D29" s="99"/>
    </row>
    <row r="30" spans="1:7" x14ac:dyDescent="0.3">
      <c r="D30" s="99"/>
    </row>
    <row r="31" spans="1:7" x14ac:dyDescent="0.3">
      <c r="D31" s="99"/>
    </row>
    <row r="32" spans="1:7" x14ac:dyDescent="0.3">
      <c r="D32" s="99"/>
    </row>
    <row r="33" spans="4:4" x14ac:dyDescent="0.3">
      <c r="D33" s="99"/>
    </row>
    <row r="34" spans="4:4" x14ac:dyDescent="0.3">
      <c r="D34" s="99"/>
    </row>
    <row r="35" spans="4:4" x14ac:dyDescent="0.3">
      <c r="D35" s="99"/>
    </row>
    <row r="36" spans="4:4" x14ac:dyDescent="0.3">
      <c r="D36" s="99"/>
    </row>
    <row r="37" spans="4:4" x14ac:dyDescent="0.3">
      <c r="D37" s="99"/>
    </row>
    <row r="38" spans="4:4" x14ac:dyDescent="0.3">
      <c r="D38" s="99"/>
    </row>
    <row r="39" spans="4:4" x14ac:dyDescent="0.3">
      <c r="D39" s="99"/>
    </row>
    <row r="40" spans="4:4" x14ac:dyDescent="0.3">
      <c r="D40" s="99"/>
    </row>
    <row r="41" spans="4:4" x14ac:dyDescent="0.3">
      <c r="D41" s="99"/>
    </row>
    <row r="42" spans="4:4" x14ac:dyDescent="0.3">
      <c r="D42" s="99"/>
    </row>
    <row r="43" spans="4:4" x14ac:dyDescent="0.3">
      <c r="D43" s="99"/>
    </row>
    <row r="44" spans="4:4" x14ac:dyDescent="0.3">
      <c r="D44" s="99"/>
    </row>
    <row r="45" spans="4:4" x14ac:dyDescent="0.3">
      <c r="D45" s="99"/>
    </row>
    <row r="46" spans="4:4" x14ac:dyDescent="0.3">
      <c r="D46" s="99"/>
    </row>
    <row r="47" spans="4:4" x14ac:dyDescent="0.3">
      <c r="D47" s="99"/>
    </row>
    <row r="48" spans="4:4" x14ac:dyDescent="0.3">
      <c r="D48" s="99"/>
    </row>
    <row r="49" spans="4:4" x14ac:dyDescent="0.3">
      <c r="D49" s="99"/>
    </row>
    <row r="50" spans="4:4" x14ac:dyDescent="0.3">
      <c r="D50" s="99"/>
    </row>
    <row r="51" spans="4:4" x14ac:dyDescent="0.3">
      <c r="D51" s="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Hoja1</vt:lpstr>
      <vt:lpstr>Centro de Costo</vt:lpstr>
      <vt:lpstr>Gastos Fijos</vt:lpstr>
      <vt:lpstr>Centro de</vt:lpstr>
      <vt:lpstr>Control de Compra y Ventas</vt:lpstr>
      <vt:lpstr>'Centro de'!Área_de_impresión</vt:lpstr>
      <vt:lpstr>'Centro de Costo'!Área_de_impresión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Rivera</dc:creator>
  <cp:lastModifiedBy>Patricio Rivera</cp:lastModifiedBy>
  <cp:lastPrinted>2025-08-12T02:46:05Z</cp:lastPrinted>
  <dcterms:created xsi:type="dcterms:W3CDTF">2023-10-13T22:16:15Z</dcterms:created>
  <dcterms:modified xsi:type="dcterms:W3CDTF">2026-05-05T00:18:00Z</dcterms:modified>
</cp:coreProperties>
</file>